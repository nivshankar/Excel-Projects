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Excel\Project\Final_Project\"/>
    </mc:Choice>
  </mc:AlternateContent>
  <xr:revisionPtr revIDLastSave="0" documentId="13_ncr:1_{C2AC621F-5A97-48B5-8253-E327D9E638D5}" xr6:coauthVersionLast="47" xr6:coauthVersionMax="47" xr10:uidLastSave="{00000000-0000-0000-0000-000000000000}"/>
  <bookViews>
    <workbookView xWindow="4425" yWindow="4740" windowWidth="21600" windowHeight="13605" xr2:uid="{152E8D09-CFA5-4506-9210-68FCAC7AC15F}"/>
  </bookViews>
  <sheets>
    <sheet name="Dashboard" sheetId="7" r:id="rId1"/>
    <sheet name="Data" sheetId="1" r:id="rId2"/>
    <sheet name="Pivot Table" sheetId="5" r:id="rId3"/>
    <sheet name="Regression" sheetId="3" r:id="rId4"/>
    <sheet name="Analysis" sheetId="4" r:id="rId5"/>
  </sheets>
  <definedNames>
    <definedName name="Slicer_Months__Date">#N/A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8" i="4" l="1"/>
  <c r="H26" i="4"/>
  <c r="L24" i="4"/>
  <c r="I24" i="4"/>
  <c r="L18" i="4"/>
  <c r="L16" i="4"/>
  <c r="L22" i="4"/>
  <c r="L20" i="4"/>
  <c r="I22" i="4"/>
  <c r="I20" i="4"/>
  <c r="I18" i="4"/>
  <c r="I16" i="4"/>
  <c r="I14" i="4"/>
  <c r="I12" i="4"/>
  <c r="M6" i="4"/>
  <c r="H8" i="4"/>
  <c r="H6" i="4"/>
  <c r="H4" i="4"/>
  <c r="H10" i="4" a="1"/>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2" i="4"/>
  <c r="A2" i="4" a="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 i="1"/>
  <c r="Q2" i="1" l="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210" i="1"/>
  <c r="Q212" i="1"/>
  <c r="Q214" i="1"/>
  <c r="Q215" i="1"/>
  <c r="Q217" i="1"/>
  <c r="Q218" i="1"/>
  <c r="Q220" i="1"/>
  <c r="Q222" i="1"/>
  <c r="Q224" i="1"/>
  <c r="Q227" i="1"/>
  <c r="Q230" i="1"/>
  <c r="Q232" i="1"/>
  <c r="Q234" i="1"/>
  <c r="Q236" i="1"/>
  <c r="Q239" i="1"/>
  <c r="Q242" i="1"/>
  <c r="Q246" i="1"/>
  <c r="Q250"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1" i="1"/>
  <c r="Q213" i="1"/>
  <c r="Q216" i="1"/>
  <c r="Q219" i="1"/>
  <c r="Q221" i="1"/>
  <c r="Q223" i="1"/>
  <c r="Q225" i="1"/>
  <c r="Q228" i="1"/>
  <c r="Q231" i="1"/>
  <c r="Q233" i="1"/>
  <c r="Q235" i="1"/>
  <c r="Q237" i="1"/>
  <c r="Q240" i="1"/>
  <c r="Q244" i="1"/>
  <c r="Q247" i="1"/>
  <c r="Q251" i="1"/>
  <c r="Q226" i="1"/>
  <c r="Q238" i="1"/>
  <c r="Q241" i="1"/>
  <c r="Q245" i="1"/>
  <c r="Q249" i="1"/>
  <c r="Q229" i="1"/>
  <c r="Q243" i="1"/>
  <c r="Q24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<sst xmlns="http://schemas.openxmlformats.org/spreadsheetml/2006/main" count="2480" uniqueCount="468">
  <si>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</si>
  <si>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</si>
  <si>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</si>
  <si>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</si>
  <si>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</si>
  <si>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</si>
  <si>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</si>
  <si>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</si>
  <si>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</si>
  <si>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</si>
  <si>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</si>
  <si>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</si>
  <si>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</si>
  <si>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</si>
  <si>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</si>
  <si>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</si>
  <si>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</si>
  <si>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</si>
  <si>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</si>
  <si>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</si>
  <si>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</si>
  <si>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</si>
  <si>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</si>
  <si>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</si>
  <si>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</si>
  <si>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</si>
  <si>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</si>
  <si>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</si>
  <si>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</si>
  <si>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</si>
  <si>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</si>
  <si>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</si>
  <si>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</si>
  <si>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</si>
  <si>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</si>
  <si>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</si>
  <si>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</si>
  <si>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</si>
  <si>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</si>
  <si>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</si>
  <si>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</si>
  <si>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</si>
  <si>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</si>
  <si>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</si>
  <si>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</si>
  <si>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</si>
  <si>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</si>
  <si>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</si>
  <si>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</si>
  <si>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</si>
  <si>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</si>
  <si>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</si>
  <si>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</si>
  <si>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</si>
  <si>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</si>
  <si>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</si>
  <si>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</si>
  <si>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</si>
  <si>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</si>
  <si>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</si>
  <si>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</si>
  <si>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</si>
  <si>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</si>
  <si>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</si>
  <si>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</si>
  <si>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</si>
  <si>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</si>
  <si>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</si>
  <si>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</si>
  <si>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</si>
  <si>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</si>
  <si>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</si>
  <si>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</si>
  <si>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</si>
  <si>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</si>
  <si>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</si>
  <si>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</si>
  <si>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</si>
  <si>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</si>
  <si>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</si>
  <si>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</si>
  <si>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</si>
  <si>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</si>
  <si>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</si>
  <si>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</si>
  <si>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</si>
  <si>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</si>
  <si>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</si>
  <si>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</si>
  <si>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</si>
  <si>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</si>
  <si>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</si>
  <si>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</si>
  <si>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</si>
  <si>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</si>
  <si>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</si>
  <si>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</si>
  <si>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</si>
  <si>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</si>
  <si>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</si>
  <si>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</si>
  <si>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</si>
  <si>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</si>
  <si>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</si>
  <si>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</si>
  <si>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</si>
  <si>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</si>
  <si>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</si>
  <si>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</si>
  <si>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</si>
  <si>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</si>
  <si>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</si>
  <si>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</si>
  <si>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</si>
  <si>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</si>
  <si>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</si>
  <si>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</si>
  <si>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</si>
  <si>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</si>
  <si>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</si>
  <si>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</si>
  <si>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</si>
  <si>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</si>
  <si>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</si>
  <si>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</si>
  <si>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</si>
  <si>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</si>
  <si>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</si>
  <si>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</si>
  <si>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</si>
  <si>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</si>
  <si>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</si>
  <si>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</si>
  <si>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</si>
  <si>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</si>
  <si>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</si>
  <si>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</si>
  <si>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</si>
  <si>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</si>
  <si>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</si>
  <si>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</si>
  <si>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</si>
  <si>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</si>
  <si>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</si>
  <si>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</si>
  <si>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</si>
  <si>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</si>
  <si>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</si>
  <si>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</si>
  <si>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</si>
  <si>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</si>
  <si>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</si>
  <si>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</si>
  <si>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</si>
  <si>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</si>
  <si>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</si>
  <si>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</si>
  <si>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</si>
  <si>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</si>
  <si>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</si>
  <si>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</si>
  <si>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</si>
  <si>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</si>
  <si>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</si>
  <si>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</si>
  <si>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</si>
  <si>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</si>
  <si>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</si>
  <si>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</si>
  <si>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</si>
  <si>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</si>
  <si>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</si>
  <si>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</si>
  <si>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</si>
  <si>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</si>
  <si>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</si>
  <si>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</si>
  <si>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</si>
  <si>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</si>
  <si>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</si>
  <si>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</si>
  <si>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</si>
  <si>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</si>
  <si>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</si>
  <si>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</si>
  <si>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</si>
  <si>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</si>
  <si>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</si>
  <si>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</si>
  <si>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</si>
  <si>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</si>
  <si>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</si>
  <si>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</si>
  <si>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</si>
  <si>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</si>
  <si>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</si>
  <si>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</si>
  <si>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</si>
  <si>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</si>
  <si>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</si>
  <si>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</si>
  <si>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</si>
  <si>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</si>
  <si>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</si>
  <si>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</si>
  <si>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</si>
  <si>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</si>
  <si>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</si>
  <si>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</si>
  <si>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</si>
  <si>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</si>
  <si>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</si>
  <si>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</si>
  <si>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</si>
  <si>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</si>
  <si>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</si>
  <si>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</si>
  <si>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</si>
  <si>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</si>
  <si>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</si>
  <si>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</si>
  <si>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</si>
  <si>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</si>
  <si>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</si>
  <si>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</si>
  <si>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</si>
  <si>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</si>
  <si>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</si>
  <si>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</si>
  <si>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</si>
  <si>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</si>
  <si>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</si>
  <si>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</si>
  <si>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</si>
  <si>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</si>
  <si>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</si>
  <si>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</si>
  <si>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</si>
  <si>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</si>
  <si>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</si>
  <si>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</si>
  <si>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</si>
  <si>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</si>
  <si>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</si>
  <si>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</si>
  <si>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</si>
  <si>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</si>
  <si>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</si>
  <si>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</si>
  <si>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</si>
  <si>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</si>
  <si>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</si>
  <si>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</si>
  <si>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</si>
  <si>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</si>
  <si>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</si>
  <si>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</si>
  <si>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</si>
  <si>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</si>
  <si>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</si>
  <si>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</si>
  <si>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</si>
  <si>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</si>
  <si>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</si>
  <si>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</si>
  <si>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</si>
  <si>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</si>
  <si>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</si>
  <si>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</si>
  <si>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</si>
  <si>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</si>
  <si>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</si>
  <si>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</si>
  <si>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</si>
  <si>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</si>
  <si>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</si>
  <si>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</si>
  <si>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</si>
  <si>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</si>
  <si>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</si>
  <si>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</si>
  <si>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</si>
  <si>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</si>
  <si>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</si>
  <si>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</si>
  <si>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</si>
  <si>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</si>
  <si>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</si>
  <si>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</si>
  <si>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</si>
  <si>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</si>
  <si>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</si>
  <si>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</si>
  <si>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</si>
  <si>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</si>
  <si>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</si>
  <si>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</si>
  <si>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</si>
  <si>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</si>
  <si>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</si>
  <si>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</si>
  <si>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</si>
  <si>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</si>
  <si>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</si>
  <si>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</si>
  <si>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</si>
  <si>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</si>
  <si>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</si>
  <si>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</si>
  <si>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</si>
  <si>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</si>
  <si>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</si>
  <si>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</si>
  <si>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</si>
  <si>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</si>
  <si>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</si>
  <si>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</si>
  <si>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</si>
  <si>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</si>
  <si>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</si>
  <si>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</si>
  <si>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</si>
  <si>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</si>
  <si>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</si>
  <si>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</si>
  <si>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</si>
  <si>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</si>
  <si>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</si>
  <si>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</si>
  <si>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</si>
  <si>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</si>
  <si>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</si>
  <si>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</si>
  <si>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</si>
  <si>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</si>
  <si>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</si>
  <si>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</si>
  <si>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</si>
  <si>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</si>
  <si>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</si>
  <si>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</si>
  <si>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</si>
  <si>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</si>
  <si>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</si>
  <si>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</si>
  <si>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</si>
  <si>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</si>
  <si>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</si>
  <si>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</si>
  <si>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</si>
  <si>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</si>
  <si>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</si>
  <si>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</si>
  <si>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</si>
  <si>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</si>
  <si>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</si>
  <si>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</si>
  <si>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</si>
  <si>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</si>
  <si>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</si>
  <si>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</si>
  <si>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</si>
  <si>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</si>
  <si>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</si>
  <si>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</si>
  <si>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</si>
  <si>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</si>
  <si>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</si>
  <si>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</si>
  <si>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</si>
  <si>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</si>
  <si>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</si>
  <si>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</si>
  <si>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</si>
  <si>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</si>
  <si>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</si>
  <si>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</si>
  <si>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</si>
  <si>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</si>
  <si>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</si>
  <si>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</si>
  <si>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</si>
  <si>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</si>
  <si>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</si>
  <si>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</si>
  <si>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</si>
  <si>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</si>
  <si>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</si>
  <si>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</si>
  <si>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</si>
  <si>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</si>
  <si>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</si>
  <si>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</si>
  <si>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</si>
  <si>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</si>
  <si>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</si>
  <si>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</si>
  <si>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</si>
  <si>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</si>
  <si>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t>
  </si>
  <si>
    <t>Timestamp</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</si>
  <si>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</si>
  <si>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</si>
  <si>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</si>
  <si>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</si>
  <si>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</si>
  <si>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</si>
  <si>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</si>
  <si>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</si>
  <si>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</si>
  <si>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</si>
  <si>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</si>
  <si>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</si>
  <si>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</si>
  <si>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</si>
  <si>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</si>
  <si>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</si>
  <si>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</si>
  <si>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</si>
  <si>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</si>
  <si>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</si>
  <si>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</si>
  <si>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</si>
  <si>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</si>
  <si>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</si>
  <si>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</si>
  <si>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Customer Tenure(Years)</t>
  </si>
  <si>
    <t>Unique Customers</t>
  </si>
  <si>
    <t>Cutomer Name</t>
  </si>
  <si>
    <t>Total Spending</t>
  </si>
  <si>
    <t>Most Used Product</t>
  </si>
  <si>
    <t>Grand Total</t>
  </si>
  <si>
    <t>Count of Product_Name</t>
  </si>
  <si>
    <t>2024</t>
  </si>
  <si>
    <t>2025</t>
  </si>
  <si>
    <t>Apr</t>
  </si>
  <si>
    <t>May</t>
  </si>
  <si>
    <t>Jun</t>
  </si>
  <si>
    <t>Jul</t>
  </si>
  <si>
    <t>Aug</t>
  </si>
  <si>
    <t>Sep</t>
  </si>
  <si>
    <t>Oct</t>
  </si>
  <si>
    <t>Nov</t>
  </si>
  <si>
    <t>Dec</t>
  </si>
  <si>
    <t>Jan</t>
  </si>
  <si>
    <t>Feb</t>
  </si>
  <si>
    <t>Mar</t>
  </si>
  <si>
    <t>Count of Product_ID</t>
  </si>
  <si>
    <t>Sum of Customer Tenure(Years)</t>
  </si>
  <si>
    <t>Sum of Quantity</t>
  </si>
  <si>
    <t>Sum of Total_Amount</t>
  </si>
  <si>
    <t>Average Sales</t>
  </si>
  <si>
    <t>High Value Customer</t>
  </si>
  <si>
    <t>Total Sales Value</t>
  </si>
  <si>
    <t>Purchase by Mark Carter</t>
  </si>
  <si>
    <t>Count of Payment_Method</t>
  </si>
  <si>
    <t>Least Used Payment Method</t>
  </si>
  <si>
    <t>Highest Sales by Category</t>
  </si>
  <si>
    <t>Least Sales By Category</t>
  </si>
  <si>
    <t xml:space="preserve">Sales </t>
  </si>
  <si>
    <t>Highest Sold Category no of orders</t>
  </si>
  <si>
    <t>Least Sold Category by No. Of orders</t>
  </si>
  <si>
    <t>Orders</t>
  </si>
  <si>
    <t>Highest Sales In an month of 2024</t>
  </si>
  <si>
    <t>Sales</t>
  </si>
  <si>
    <t>Total Sales in 2024</t>
  </si>
  <si>
    <t>Total Sales in 2025</t>
  </si>
  <si>
    <t>Most Used Payment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</si>
</sst>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dd/mm/yyyy\ hh:mm:ss"/>
    <numFmt numFmtId="165" formatCode="_-[$$-409]* #,##0.00_ ;_-[$$-409]* \-#,##0.00\ ;_-[$$-409]* &quot;-&quot;??_ ;_-@_ "/>
  </numFmts>
  <fonts count="5" x14ac:knownFonts="1">
    <font>
      <sz val="11"/>
      <color theme="1"/>
      <name val="Calibri"/>
      <family val="2"/>
      <scheme val="minor"/>
    </font>
    <font>
      <sz val="11"/>
      <color theme="1"/>
      <name val="Calibri"/>
      <family val="2"/>
      <scheme val="minor"/>
    </font>
    <font>
      <b/>
      <sz val="12"/>
      <color theme="1"/>
      <name val="Calibri"/>
      <family val="2"/>
      <scheme val="minor"/>
    </font>
    <font>
      <i/>
      <sz val="11"/>
      <color theme="1"/>
      <name val="Calibri"/>
      <family val="2"/>
      <scheme val="minor"/>
    </font>
    <font>
      <sz val="22"/>
      <color theme="1"/>
      <name val="Calibri"/>
      <family val="2"/>
      <scheme val="minor"/>
    </font>
  </fonts>
  <fills count="3">
    <fill>
      <patternFill patternType="none"/>
    </fill>
    <fill>
      <patternFill patternType="gray125"/>
    </fill>
    <fill>
      <patternFill patternType="solid">
        <fgColor theme="5"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34">
    <xf numFmtId="0" fontId="0" fillId="0" borderId="0" xfId="0"/>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14" fontId="0" fillId="0" borderId="1" xfId="0" applyNumberFormat="1" applyBorder="1"/>
    <xf numFmtId="164" fontId="0" fillId="0" borderId="1" xfId="0" applyNumberFormat="1" applyBorder="1"/>
    <xf numFmtId="165" fontId="0" fillId="0" borderId="1" xfId="1" applyNumberFormat="1" applyFont="1" applyBorder="1" applyAlignment="1">
      <alignment horizontal="center" vertical="center" wrapText="1"/>
    </xf>
    <xf numFmtId="165" fontId="0" fillId="0" borderId="1" xfId="0" applyNumberFormat="1" applyBorder="1" applyAlignment="1">
      <alignment horizontal="center" vertical="center" wrapText="1"/>
    </xf>
    <xf numFmtId="22" fontId="2" fillId="0" borderId="1" xfId="0" applyNumberFormat="1" applyFont="1" applyBorder="1" applyAlignment="1">
      <alignment horizontal="center" vertical="center" wrapText="1"/>
    </xf>
    <xf numFmtId="0" fontId="0" fillId="0" borderId="2" xfId="0" applyBorder="1"/>
    <xf numFmtId="0" fontId="3" fillId="0" borderId="3" xfId="0" applyFont="1" applyBorder="1" applyAlignment="1">
      <alignment horizontal="center"/>
    </xf>
    <xf numFmtId="0" fontId="3" fillId="0" borderId="3" xfId="0" applyFont="1" applyBorder="1" applyAlignment="1">
      <alignment horizontal="centerContinuous"/>
    </xf>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xf numFmtId="0" fontId="0" fillId="0" borderId="1" xfId="0" pivotButton="1" applyBorder="1"/>
    <xf numFmtId="0" fontId="0" fillId="0" borderId="1" xfId="0" applyBorder="1" applyAlignment="1">
      <alignment horizontal="left"/>
    </xf>
    <xf numFmtId="0" fontId="0" fillId="0" borderId="1" xfId="0" applyBorder="1" applyAlignment="1">
      <alignment horizontal="left" indent="1"/>
    </xf>
    <xf numFmtId="0" fontId="0" fillId="0" borderId="1" xfId="0" pivotButton="1" applyBorder="1" applyAlignment="1">
      <alignment horizontal="center" vertical="center"/>
    </xf>
    <xf numFmtId="0" fontId="0" fillId="0" borderId="1" xfId="0" applyBorder="1" applyAlignment="1">
      <alignment horizontal="center" vertical="center" indent="1"/>
    </xf>
    <xf numFmtId="165" fontId="0" fillId="0" borderId="1" xfId="0" applyNumberFormat="1" applyBorder="1" applyAlignment="1">
      <alignment horizontal="center" vertical="center"/>
    </xf>
    <xf numFmtId="165" fontId="0" fillId="0" borderId="0" xfId="0" applyNumberFormat="1"/>
    <xf numFmtId="165" fontId="0" fillId="0" borderId="1" xfId="0" applyNumberFormat="1" applyBorder="1"/>
    <xf numFmtId="0" fontId="0" fillId="2" borderId="0" xfId="0" applyFill="1"/>
    <xf numFmtId="0" fontId="4" fillId="2" borderId="0" xfId="0" applyFont="1" applyFill="1"/>
    <xf numFmtId="0" fontId="0" fillId="0" borderId="1" xfId="0" applyBorder="1" applyAlignment="1">
      <alignment horizontal="center"/>
    </xf>
    <xf numFmtId="165" fontId="0" fillId="0" borderId="1" xfId="1" applyNumberFormat="1" applyFont="1" applyBorder="1"/>
    <xf numFmtId="0" fontId="2" fillId="0" borderId="1" xfId="0" applyFont="1" applyBorder="1" applyAlignment="1">
      <alignment horizontal="center" vertical="center"/>
    </xf>
    <xf numFmtId="0" fontId="0" fillId="0" borderId="1" xfId="0" applyBorder="1" applyAlignment="1">
      <alignment horizontal="center"/>
    </xf>
    <xf numFmtId="0" fontId="2" fillId="0" borderId="1" xfId="0" applyFont="1" applyBorder="1" applyAlignment="1">
      <alignment horizontal="center" vertic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1" xfId="0" applyNumberFormat="1" applyBorder="1"/>
  </cellXfs>
  <cellStyles count="2">
    <cellStyle name="Currency" xfId="1" builtinId="4"/>
    <cellStyle name="Normal" xfId="0" builtinId="0"/>
  </cellStyles>
  <dxfs count="86">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Table!PivotTable11</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Table'!$B$2:$B$3</c:f>
              <c:strCache>
                <c:ptCount val="1"/>
                <c:pt idx="0">
                  <c:v>Appliances</c:v>
                </c:pt>
              </c:strCache>
            </c:strRef>
          </c:tx>
          <c:spPr>
            <a:solidFill>
              <a:schemeClr val="accent1"/>
            </a:solidFill>
            <a:ln>
              <a:noFill/>
            </a:ln>
            <a:effectLst/>
            <a:sp3d/>
          </c:spPr>
          <c:invertIfNegative val="0"/>
          <c:cat>
            <c:multiLvlStrRef>
              <c:f>'Pivot Table'!$A$4:$A$19</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Table'!$B$4:$B$19</c:f>
              <c:numCache>
                <c:formatCode>General</c:formatCode>
                <c:ptCount val="13"/>
                <c:pt idx="0">
                  <c:v>6</c:v>
                </c:pt>
                <c:pt idx="1">
                  <c:v>5</c:v>
                </c:pt>
                <c:pt idx="2">
                  <c:v>4</c:v>
                </c:pt>
                <c:pt idx="3">
                  <c:v>4</c:v>
                </c:pt>
                <c:pt idx="4">
                  <c:v>1</c:v>
                </c:pt>
                <c:pt idx="5">
                  <c:v>4</c:v>
                </c:pt>
                <c:pt idx="6">
                  <c:v>1</c:v>
                </c:pt>
                <c:pt idx="7">
                  <c:v>3</c:v>
                </c:pt>
                <c:pt idx="8">
                  <c:v>4</c:v>
                </c:pt>
                <c:pt idx="9">
                  <c:v>3</c:v>
                </c:pt>
                <c:pt idx="10">
                  <c:v>4</c:v>
                </c:pt>
                <c:pt idx="11">
                  <c:v>3</c:v>
                </c:pt>
                <c:pt idx="12">
                  <c:v>1</c:v>
                </c:pt>
              </c:numCache>
            </c:numRef>
          </c:val>
          <c:extLst>
            <c:ext xmlns:c16="http://schemas.microsoft.com/office/drawing/2014/chart" uri="{C3380CC4-5D6E-409C-BE32-E72D297353CC}">
              <c16:uniqueId val="{00000000-1D51-4822-B45C-EEC2E5EAE0A1}"/>
            </c:ext>
          </c:extLst>
        </c:ser>
        <c:ser>
          <c:idx val="1"/>
          <c:order val="1"/>
          <c:tx>
            <c:strRef>
              <c:f>'Pivot Table'!$C$2:$C$3</c:f>
              <c:strCache>
                <c:ptCount val="1"/>
                <c:pt idx="0">
                  <c:v>Electronics</c:v>
                </c:pt>
              </c:strCache>
            </c:strRef>
          </c:tx>
          <c:spPr>
            <a:solidFill>
              <a:schemeClr val="accent2"/>
            </a:solidFill>
            <a:ln>
              <a:noFill/>
            </a:ln>
            <a:effectLst/>
            <a:sp3d/>
          </c:spPr>
          <c:invertIfNegative val="0"/>
          <c:cat>
            <c:multiLvlStrRef>
              <c:f>'Pivot Table'!$A$4:$A$19</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Table'!$C$4:$C$19</c:f>
              <c:numCache>
                <c:formatCode>General</c:formatCode>
                <c:ptCount val="13"/>
                <c:pt idx="0">
                  <c:v>10</c:v>
                </c:pt>
                <c:pt idx="1">
                  <c:v>7</c:v>
                </c:pt>
                <c:pt idx="2">
                  <c:v>12</c:v>
                </c:pt>
                <c:pt idx="3">
                  <c:v>13</c:v>
                </c:pt>
                <c:pt idx="4">
                  <c:v>11</c:v>
                </c:pt>
                <c:pt idx="5">
                  <c:v>10</c:v>
                </c:pt>
                <c:pt idx="6">
                  <c:v>12</c:v>
                </c:pt>
                <c:pt idx="7">
                  <c:v>8</c:v>
                </c:pt>
                <c:pt idx="8">
                  <c:v>12</c:v>
                </c:pt>
                <c:pt idx="9">
                  <c:v>15</c:v>
                </c:pt>
                <c:pt idx="10">
                  <c:v>6</c:v>
                </c:pt>
                <c:pt idx="11">
                  <c:v>9</c:v>
                </c:pt>
                <c:pt idx="12">
                  <c:v>6</c:v>
                </c:pt>
              </c:numCache>
            </c:numRef>
          </c:val>
          <c:extLst>
            <c:ext xmlns:c16="http://schemas.microsoft.com/office/drawing/2014/chart" uri="{C3380CC4-5D6E-409C-BE32-E72D297353CC}">
              <c16:uniqueId val="{00000001-1D51-4822-B45C-EEC2E5EAE0A1}"/>
            </c:ext>
          </c:extLst>
        </c:ser>
        <c:ser>
          <c:idx val="2"/>
          <c:order val="2"/>
          <c:tx>
            <c:strRef>
              <c:f>'Pivot Table'!$D$2:$D$3</c:f>
              <c:strCache>
                <c:ptCount val="1"/>
                <c:pt idx="0">
                  <c:v>Furniture</c:v>
                </c:pt>
              </c:strCache>
            </c:strRef>
          </c:tx>
          <c:spPr>
            <a:solidFill>
              <a:schemeClr val="accent3"/>
            </a:solidFill>
            <a:ln>
              <a:noFill/>
            </a:ln>
            <a:effectLst/>
            <a:sp3d/>
          </c:spPr>
          <c:invertIfNegative val="0"/>
          <c:cat>
            <c:multiLvlStrRef>
              <c:f>'Pivot Table'!$A$4:$A$19</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Table'!$D$4:$D$19</c:f>
              <c:numCache>
                <c:formatCode>General</c:formatCode>
                <c:ptCount val="13"/>
                <c:pt idx="0">
                  <c:v>5</c:v>
                </c:pt>
                <c:pt idx="1">
                  <c:v>7</c:v>
                </c:pt>
                <c:pt idx="2">
                  <c:v>3</c:v>
                </c:pt>
                <c:pt idx="3">
                  <c:v>7</c:v>
                </c:pt>
                <c:pt idx="4">
                  <c:v>6</c:v>
                </c:pt>
                <c:pt idx="5">
                  <c:v>5</c:v>
                </c:pt>
                <c:pt idx="6">
                  <c:v>3</c:v>
                </c:pt>
                <c:pt idx="7">
                  <c:v>6</c:v>
                </c:pt>
                <c:pt idx="8">
                  <c:v>9</c:v>
                </c:pt>
                <c:pt idx="9">
                  <c:v>8</c:v>
                </c:pt>
                <c:pt idx="10">
                  <c:v>10</c:v>
                </c:pt>
                <c:pt idx="11">
                  <c:v>7</c:v>
                </c:pt>
              </c:numCache>
            </c:numRef>
          </c:val>
          <c:extLst>
            <c:ext xmlns:c16="http://schemas.microsoft.com/office/drawing/2014/chart" uri="{C3380CC4-5D6E-409C-BE32-E72D297353CC}">
              <c16:uniqueId val="{00000002-1D51-4822-B45C-EEC2E5EAE0A1}"/>
            </c:ext>
          </c:extLst>
        </c:ser>
        <c:dLbls>
          <c:showLegendKey val="0"/>
          <c:showVal val="0"/>
          <c:showCatName val="0"/>
          <c:showSerName val="0"/>
          <c:showPercent val="0"/>
          <c:showBubbleSize val="0"/>
        </c:dLbls>
        <c:gapWidth val="150"/>
        <c:shape val="box"/>
        <c:axId val="2101340976"/>
        <c:axId val="2067049136"/>
        <c:axId val="0"/>
      </c:bar3DChart>
      <c:catAx>
        <c:axId val="2101340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9136"/>
        <c:crosses val="autoZero"/>
        <c:auto val="1"/>
        <c:lblAlgn val="ctr"/>
        <c:lblOffset val="100"/>
        <c:noMultiLvlLbl val="0"/>
      </c:catAx>
      <c:valAx>
        <c:axId val="2067049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340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Table!PivotTable15</c:name>
    <c:fmtId val="7"/>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Total Sales </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spPr>
          <a:solidFill>
            <a:schemeClr val="accent1">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2">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spPr>
          <a:solidFill>
            <a:schemeClr val="accent3">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spPr>
          <a:solidFill>
            <a:schemeClr val="accent4">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Table'!$H$9</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3748-465E-B582-82306F5235F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3748-465E-B582-82306F5235F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3748-465E-B582-82306F5235F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3748-465E-B582-82306F5235F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3748-465E-B582-82306F5235F6}"/>
              </c:ext>
            </c:extLst>
          </c:dPt>
          <c:dPt>
            <c:idx val="5"/>
            <c:bubble3D val="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3748-465E-B582-82306F5235F6}"/>
              </c:ext>
            </c:extLst>
          </c:dPt>
          <c:dPt>
            <c:idx val="6"/>
            <c:bubble3D val="0"/>
            <c:spPr>
              <a:solidFill>
                <a:schemeClr val="accent1">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3748-465E-B582-82306F5235F6}"/>
              </c:ext>
            </c:extLst>
          </c:dPt>
          <c:dPt>
            <c:idx val="7"/>
            <c:bubble3D val="0"/>
            <c:spPr>
              <a:solidFill>
                <a:schemeClr val="accent2">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F-3748-465E-B582-82306F5235F6}"/>
              </c:ext>
            </c:extLst>
          </c:dPt>
          <c:dPt>
            <c:idx val="8"/>
            <c:bubble3D val="0"/>
            <c:spPr>
              <a:solidFill>
                <a:schemeClr val="accent3">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1-3748-465E-B582-82306F5235F6}"/>
              </c:ext>
            </c:extLst>
          </c:dPt>
          <c:dPt>
            <c:idx val="9"/>
            <c:bubble3D val="0"/>
            <c:spPr>
              <a:solidFill>
                <a:schemeClr val="accent4">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3-3748-465E-B582-82306F5235F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1-3748-465E-B582-82306F5235F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3-3748-465E-B582-82306F5235F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5-3748-465E-B582-82306F5235F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7-3748-465E-B582-82306F5235F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9-3748-465E-B582-82306F5235F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B-3748-465E-B582-82306F5235F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D-3748-465E-B582-82306F5235F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F-3748-465E-B582-82306F5235F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1-3748-465E-B582-82306F5235F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3-3748-465E-B582-82306F5235F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Table'!$G$10:$G$20</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'Pivot Table'!$H$10:$H$20</c:f>
              <c:numCache>
                <c:formatCode>General</c:formatCode>
                <c:ptCount val="10"/>
                <c:pt idx="0">
                  <c:v>87</c:v>
                </c:pt>
                <c:pt idx="1">
                  <c:v>102</c:v>
                </c:pt>
                <c:pt idx="2">
                  <c:v>39</c:v>
                </c:pt>
                <c:pt idx="3">
                  <c:v>78</c:v>
                </c:pt>
                <c:pt idx="4">
                  <c:v>47</c:v>
                </c:pt>
                <c:pt idx="5">
                  <c:v>89</c:v>
                </c:pt>
                <c:pt idx="6">
                  <c:v>75</c:v>
                </c:pt>
                <c:pt idx="7">
                  <c:v>88</c:v>
                </c:pt>
                <c:pt idx="8">
                  <c:v>52</c:v>
                </c:pt>
                <c:pt idx="9">
                  <c:v>96</c:v>
                </c:pt>
              </c:numCache>
            </c:numRef>
          </c:val>
          <c:extLst>
            <c:ext xmlns:c16="http://schemas.microsoft.com/office/drawing/2014/chart" uri="{C3380CC4-5D6E-409C-BE32-E72D297353CC}">
              <c16:uniqueId val="{00000014-3748-465E-B582-82306F5235F6}"/>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Table!PivotTable1</c:name>
    <c:fmtId val="6"/>
  </c:pivotSource>
  <c:chart>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solidFill>
            <a:round/>
          </a:ln>
          <a:effectLst/>
        </c:spPr>
        <c:marker>
          <c:symbol val="circle"/>
          <c:size val="17"/>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solidFill>
            <a:round/>
          </a:ln>
          <a:effectLst/>
        </c:spPr>
        <c:marker>
          <c:symbol val="circle"/>
          <c:size val="17"/>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31750" cap="rnd" cmpd="sng" algn="ctr">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31750" cap="rnd" cmpd="sng" algn="ctr">
            <a:solidFill>
              <a:schemeClr val="accent1"/>
            </a:solidFill>
            <a:round/>
          </a:ln>
          <a:effectLst/>
        </c:spPr>
        <c:marker>
          <c:symbol val="circle"/>
          <c:size val="17"/>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31750" cap="rnd" cmpd="sng" algn="ctr">
            <a:solidFill>
              <a:schemeClr val="accent1"/>
            </a:solidFill>
            <a:round/>
          </a:ln>
          <a:effectLst/>
        </c:spPr>
        <c:marker>
          <c:symbol val="circle"/>
          <c:size val="17"/>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ln w="31750" cap="rnd">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ln w="31750" cap="rnd">
            <a:solidFill>
              <a:schemeClr val="accent1"/>
            </a:solidFill>
            <a:round/>
          </a:ln>
          <a:effectLst/>
        </c:spPr>
        <c:marker>
          <c:symbol val="circle"/>
          <c:size val="17"/>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1"/>
            </a:solidFill>
            <a:round/>
          </a:ln>
          <a:effectLst/>
        </c:spPr>
        <c:marker>
          <c:symbol val="circle"/>
          <c:size val="17"/>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Table'!$I$24:$I$25</c:f>
              <c:strCache>
                <c:ptCount val="1"/>
                <c:pt idx="0">
                  <c:v>Cash</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'Pivot Table'!$H$26:$H$41</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Table'!$I$26:$I$41</c:f>
              <c:numCache>
                <c:formatCode>General</c:formatCode>
                <c:ptCount val="13"/>
                <c:pt idx="0">
                  <c:v>7</c:v>
                </c:pt>
                <c:pt idx="1">
                  <c:v>6</c:v>
                </c:pt>
                <c:pt idx="2">
                  <c:v>6</c:v>
                </c:pt>
                <c:pt idx="3">
                  <c:v>11</c:v>
                </c:pt>
                <c:pt idx="4">
                  <c:v>7</c:v>
                </c:pt>
                <c:pt idx="5">
                  <c:v>3</c:v>
                </c:pt>
                <c:pt idx="6">
                  <c:v>4</c:v>
                </c:pt>
                <c:pt idx="7">
                  <c:v>3</c:v>
                </c:pt>
                <c:pt idx="8">
                  <c:v>10</c:v>
                </c:pt>
                <c:pt idx="9">
                  <c:v>3</c:v>
                </c:pt>
                <c:pt idx="10">
                  <c:v>9</c:v>
                </c:pt>
                <c:pt idx="11">
                  <c:v>6</c:v>
                </c:pt>
                <c:pt idx="12">
                  <c:v>1</c:v>
                </c:pt>
              </c:numCache>
            </c:numRef>
          </c:val>
          <c:smooth val="0"/>
          <c:extLst>
            <c:ext xmlns:c16="http://schemas.microsoft.com/office/drawing/2014/chart" uri="{C3380CC4-5D6E-409C-BE32-E72D297353CC}">
              <c16:uniqueId val="{00000000-97FC-4BE2-A5B7-B1CC61AB42A3}"/>
            </c:ext>
          </c:extLst>
        </c:ser>
        <c:ser>
          <c:idx val="1"/>
          <c:order val="1"/>
          <c:tx>
            <c:strRef>
              <c:f>'Pivot Table'!$J$24:$J$25</c:f>
              <c:strCache>
                <c:ptCount val="1"/>
                <c:pt idx="0">
                  <c:v>Credit Card</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'Pivot Table'!$H$26:$H$41</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Table'!$J$26:$J$41</c:f>
              <c:numCache>
                <c:formatCode>General</c:formatCode>
                <c:ptCount val="13"/>
                <c:pt idx="0">
                  <c:v>8</c:v>
                </c:pt>
                <c:pt idx="1">
                  <c:v>6</c:v>
                </c:pt>
                <c:pt idx="2">
                  <c:v>7</c:v>
                </c:pt>
                <c:pt idx="3">
                  <c:v>3</c:v>
                </c:pt>
                <c:pt idx="4">
                  <c:v>5</c:v>
                </c:pt>
                <c:pt idx="5">
                  <c:v>6</c:v>
                </c:pt>
                <c:pt idx="6">
                  <c:v>8</c:v>
                </c:pt>
                <c:pt idx="7">
                  <c:v>7</c:v>
                </c:pt>
                <c:pt idx="8">
                  <c:v>4</c:v>
                </c:pt>
                <c:pt idx="9">
                  <c:v>8</c:v>
                </c:pt>
                <c:pt idx="10">
                  <c:v>1</c:v>
                </c:pt>
                <c:pt idx="11">
                  <c:v>4</c:v>
                </c:pt>
                <c:pt idx="12">
                  <c:v>1</c:v>
                </c:pt>
              </c:numCache>
            </c:numRef>
          </c:val>
          <c:smooth val="0"/>
          <c:extLst>
            <c:ext xmlns:c16="http://schemas.microsoft.com/office/drawing/2014/chart" uri="{C3380CC4-5D6E-409C-BE32-E72D297353CC}">
              <c16:uniqueId val="{00000001-97FC-4BE2-A5B7-B1CC61AB42A3}"/>
            </c:ext>
          </c:extLst>
        </c:ser>
        <c:ser>
          <c:idx val="2"/>
          <c:order val="2"/>
          <c:tx>
            <c:strRef>
              <c:f>'Pivot Table'!$K$24:$K$25</c:f>
              <c:strCache>
                <c:ptCount val="1"/>
                <c:pt idx="0">
                  <c:v>Debit Card</c:v>
                </c:pt>
              </c:strCache>
            </c:strRef>
          </c:tx>
          <c:spPr>
            <a:ln w="31750" cap="rnd">
              <a:solidFill>
                <a:schemeClr val="accent3"/>
              </a:solidFill>
              <a:round/>
            </a:ln>
            <a:effectLst/>
          </c:spPr>
          <c:marker>
            <c:symbol val="circle"/>
            <c:size val="17"/>
            <c:spPr>
              <a:solidFill>
                <a:schemeClr val="accent3"/>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'Pivot Table'!$H$26:$H$41</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Table'!$K$26:$K$41</c:f>
              <c:numCache>
                <c:formatCode>General</c:formatCode>
                <c:ptCount val="13"/>
                <c:pt idx="0">
                  <c:v>4</c:v>
                </c:pt>
                <c:pt idx="1">
                  <c:v>2</c:v>
                </c:pt>
                <c:pt idx="2">
                  <c:v>3</c:v>
                </c:pt>
                <c:pt idx="3">
                  <c:v>5</c:v>
                </c:pt>
                <c:pt idx="4">
                  <c:v>3</c:v>
                </c:pt>
                <c:pt idx="5">
                  <c:v>5</c:v>
                </c:pt>
                <c:pt idx="6">
                  <c:v>1</c:v>
                </c:pt>
                <c:pt idx="7">
                  <c:v>3</c:v>
                </c:pt>
                <c:pt idx="8">
                  <c:v>8</c:v>
                </c:pt>
                <c:pt idx="9">
                  <c:v>11</c:v>
                </c:pt>
                <c:pt idx="10">
                  <c:v>3</c:v>
                </c:pt>
                <c:pt idx="11">
                  <c:v>3</c:v>
                </c:pt>
                <c:pt idx="12">
                  <c:v>3</c:v>
                </c:pt>
              </c:numCache>
            </c:numRef>
          </c:val>
          <c:smooth val="0"/>
          <c:extLst>
            <c:ext xmlns:c16="http://schemas.microsoft.com/office/drawing/2014/chart" uri="{C3380CC4-5D6E-409C-BE32-E72D297353CC}">
              <c16:uniqueId val="{00000002-97FC-4BE2-A5B7-B1CC61AB42A3}"/>
            </c:ext>
          </c:extLst>
        </c:ser>
        <c:ser>
          <c:idx val="3"/>
          <c:order val="3"/>
          <c:tx>
            <c:strRef>
              <c:f>'Pivot Table'!$L$24:$L$25</c:f>
              <c:strCache>
                <c:ptCount val="1"/>
                <c:pt idx="0">
                  <c:v>PayPal</c:v>
                </c:pt>
              </c:strCache>
            </c:strRef>
          </c:tx>
          <c:spPr>
            <a:ln w="31750" cap="rnd">
              <a:solidFill>
                <a:schemeClr val="accent4"/>
              </a:solidFill>
              <a:round/>
            </a:ln>
            <a:effectLst/>
          </c:spPr>
          <c:marker>
            <c:symbol val="circle"/>
            <c:size val="17"/>
            <c:spPr>
              <a:solidFill>
                <a:schemeClr val="accent4"/>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'Pivot Table'!$H$26:$H$41</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'Pivot Table'!$L$26:$L$41</c:f>
              <c:numCache>
                <c:formatCode>General</c:formatCode>
                <c:ptCount val="13"/>
                <c:pt idx="0">
                  <c:v>2</c:v>
                </c:pt>
                <c:pt idx="1">
                  <c:v>5</c:v>
                </c:pt>
                <c:pt idx="2">
                  <c:v>3</c:v>
                </c:pt>
                <c:pt idx="3">
                  <c:v>5</c:v>
                </c:pt>
                <c:pt idx="4">
                  <c:v>3</c:v>
                </c:pt>
                <c:pt idx="5">
                  <c:v>5</c:v>
                </c:pt>
                <c:pt idx="6">
                  <c:v>3</c:v>
                </c:pt>
                <c:pt idx="7">
                  <c:v>4</c:v>
                </c:pt>
                <c:pt idx="8">
                  <c:v>3</c:v>
                </c:pt>
                <c:pt idx="9">
                  <c:v>4</c:v>
                </c:pt>
                <c:pt idx="10">
                  <c:v>7</c:v>
                </c:pt>
                <c:pt idx="11">
                  <c:v>6</c:v>
                </c:pt>
                <c:pt idx="12">
                  <c:v>2</c:v>
                </c:pt>
              </c:numCache>
            </c:numRef>
          </c:val>
          <c:smooth val="0"/>
          <c:extLst>
            <c:ext xmlns:c16="http://schemas.microsoft.com/office/drawing/2014/chart" uri="{C3380CC4-5D6E-409C-BE32-E72D297353CC}">
              <c16:uniqueId val="{00000003-97FC-4BE2-A5B7-B1CC61AB42A3}"/>
            </c:ext>
          </c:extLst>
        </c:ser>
        <c:dLbls>
          <c:dLblPos val="ctr"/>
          <c:showLegendKey val="0"/>
          <c:showVal val="1"/>
          <c:showCatName val="0"/>
          <c:showSerName val="0"/>
          <c:showPercent val="0"/>
          <c:showBubbleSize val="0"/>
        </c:dLbls>
        <c:marker val="1"/>
        <c:smooth val="0"/>
        <c:axId val="2109713840"/>
        <c:axId val="2067138416"/>
      </c:lineChart>
      <c:catAx>
        <c:axId val="210971384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67138416"/>
        <c:crosses val="autoZero"/>
        <c:auto val="1"/>
        <c:lblAlgn val="ctr"/>
        <c:lblOffset val="100"/>
        <c:noMultiLvlLbl val="0"/>
      </c:catAx>
      <c:valAx>
        <c:axId val="206713841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210971384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9526</xdr:colOff>
      <xdr:row>0</xdr:row>
      <xdr:rowOff>38100</xdr:rowOff>
    </xdr:from>
    <xdr:to>
      <xdr:col>26</xdr:col>
      <xdr:colOff>66675</xdr:colOff>
      <xdr:row>4</xdr:row>
      <xdr:rowOff>47625</xdr:rowOff>
    </xdr:to>
    <xdr:sp macro="" textlink="">
      <xdr:nvSpPr>
        <xdr:cNvPr id="2" name="Flowchart: Alternate Process 1">
          <a:extLst>
            <a:ext uri="{FF2B5EF4-FFF2-40B4-BE49-F238E27FC236}">
              <a16:creationId xmlns:a16="http://schemas.microsoft.com/office/drawing/2014/main" id="{C14CFDCE-4CA0-9F72-5485-DE270E91DE24}"/>
            </a:ext>
          </a:extLst>
        </xdr:cNvPr>
        <xdr:cNvSpPr/>
      </xdr:nvSpPr>
      <xdr:spPr>
        <a:xfrm>
          <a:off x="1228726" y="38100"/>
          <a:ext cx="14687549" cy="771525"/>
        </a:xfrm>
        <a:prstGeom prst="flowChartAlternateProcess">
          <a:avLst/>
        </a:prstGeom>
        <a:solidFill>
          <a:schemeClr val="accent2">
            <a:lumMod val="40000"/>
            <a:lumOff val="60000"/>
          </a:schemeClr>
        </a:solidFill>
        <a:ln>
          <a:solidFill>
            <a:schemeClr val="accent1">
              <a:lumMod val="5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a:solidFill>
                <a:schemeClr val="tx1">
                  <a:lumMod val="95000"/>
                  <a:lumOff val="5000"/>
                </a:schemeClr>
              </a:solidFill>
            </a:rPr>
            <a:t>Sales DATA Analytics</a:t>
          </a:r>
          <a:r>
            <a:rPr lang="en-IN" sz="3600" baseline="0">
              <a:solidFill>
                <a:schemeClr val="tx1">
                  <a:lumMod val="95000"/>
                  <a:lumOff val="5000"/>
                </a:schemeClr>
              </a:solidFill>
            </a:rPr>
            <a:t>  Dashboard</a:t>
          </a:r>
          <a:endParaRPr lang="en-IN" sz="3600">
            <a:solidFill>
              <a:schemeClr val="tx1">
                <a:lumMod val="95000"/>
                <a:lumOff val="5000"/>
              </a:schemeClr>
            </a:solidFill>
          </a:endParaRPr>
        </a:p>
      </xdr:txBody>
    </xdr:sp>
    <xdr:clientData/>
  </xdr:twoCellAnchor>
  <xdr:twoCellAnchor>
    <xdr:from>
      <xdr:col>0</xdr:col>
      <xdr:colOff>523876</xdr:colOff>
      <xdr:row>5</xdr:row>
      <xdr:rowOff>28575</xdr:rowOff>
    </xdr:from>
    <xdr:to>
      <xdr:col>5</xdr:col>
      <xdr:colOff>28576</xdr:colOff>
      <xdr:row>9</xdr:row>
      <xdr:rowOff>161925</xdr:rowOff>
    </xdr:to>
    <xdr:sp macro="" textlink="">
      <xdr:nvSpPr>
        <xdr:cNvPr id="3" name="Rectangle: Rounded Corners 2">
          <a:extLst>
            <a:ext uri="{FF2B5EF4-FFF2-40B4-BE49-F238E27FC236}">
              <a16:creationId xmlns:a16="http://schemas.microsoft.com/office/drawing/2014/main" id="{BBDE3D4C-1195-5179-9987-1A53CD299658}"/>
            </a:ext>
          </a:extLst>
        </xdr:cNvPr>
        <xdr:cNvSpPr/>
      </xdr:nvSpPr>
      <xdr:spPr>
        <a:xfrm>
          <a:off x="523876" y="981075"/>
          <a:ext cx="2552700" cy="1066800"/>
        </a:xfrm>
        <a:prstGeom prst="roundRect">
          <a:avLst/>
        </a:prstGeom>
        <a:solidFill>
          <a:schemeClr val="bg2">
            <a:lumMod val="50000"/>
            <a:alpha val="5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000"/>
            <a:t>Sales in FY-2024</a:t>
          </a:r>
        </a:p>
        <a:p>
          <a:pPr algn="ctr"/>
          <a:r>
            <a:rPr lang="en-IN" sz="2000" b="0" i="0" u="none" strike="noStrike">
              <a:solidFill>
                <a:srgbClr val="000000"/>
              </a:solidFill>
              <a:effectLst/>
              <a:latin typeface="Calibri" panose="020F0502020204030204" pitchFamily="34" charset="0"/>
            </a:rPr>
            <a:t> $  1,60,444.73 </a:t>
          </a:r>
          <a:endParaRPr lang="en-IN" sz="2000"/>
        </a:p>
      </xdr:txBody>
    </xdr:sp>
    <xdr:clientData/>
  </xdr:twoCellAnchor>
  <xdr:twoCellAnchor>
    <xdr:from>
      <xdr:col>5</xdr:col>
      <xdr:colOff>485775</xdr:colOff>
      <xdr:row>5</xdr:row>
      <xdr:rowOff>38100</xdr:rowOff>
    </xdr:from>
    <xdr:to>
      <xdr:col>9</xdr:col>
      <xdr:colOff>600075</xdr:colOff>
      <xdr:row>9</xdr:row>
      <xdr:rowOff>171450</xdr:rowOff>
    </xdr:to>
    <xdr:sp macro="" textlink="">
      <xdr:nvSpPr>
        <xdr:cNvPr id="4" name="Rectangle: Rounded Corners 3">
          <a:extLst>
            <a:ext uri="{FF2B5EF4-FFF2-40B4-BE49-F238E27FC236}">
              <a16:creationId xmlns:a16="http://schemas.microsoft.com/office/drawing/2014/main" id="{F2883D52-129A-4FCE-90A5-9525AB3D206A}"/>
            </a:ext>
          </a:extLst>
        </xdr:cNvPr>
        <xdr:cNvSpPr/>
      </xdr:nvSpPr>
      <xdr:spPr>
        <a:xfrm>
          <a:off x="3533775" y="990600"/>
          <a:ext cx="2552700" cy="1066800"/>
        </a:xfrm>
        <a:prstGeom prst="roundRect">
          <a:avLst/>
        </a:prstGeom>
        <a:solidFill>
          <a:schemeClr val="bg2">
            <a:lumMod val="50000"/>
            <a:alpha val="5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000"/>
            <a:t>Sales in FY-2025</a:t>
          </a:r>
        </a:p>
        <a:p>
          <a:pPr algn="ctr"/>
          <a:r>
            <a:rPr lang="en-IN" sz="2000" b="0" i="0" u="none" strike="noStrike">
              <a:solidFill>
                <a:srgbClr val="000000"/>
              </a:solidFill>
              <a:effectLst/>
              <a:latin typeface="Calibri" panose="020F0502020204030204" pitchFamily="34" charset="0"/>
            </a:rPr>
            <a:t> $      68,747.74 </a:t>
          </a:r>
          <a:endParaRPr lang="en-IN" sz="2000"/>
        </a:p>
      </xdr:txBody>
    </xdr:sp>
    <xdr:clientData/>
  </xdr:twoCellAnchor>
  <xdr:twoCellAnchor>
    <xdr:from>
      <xdr:col>10</xdr:col>
      <xdr:colOff>485775</xdr:colOff>
      <xdr:row>5</xdr:row>
      <xdr:rowOff>57150</xdr:rowOff>
    </xdr:from>
    <xdr:to>
      <xdr:col>14</xdr:col>
      <xdr:colOff>600075</xdr:colOff>
      <xdr:row>10</xdr:row>
      <xdr:rowOff>0</xdr:rowOff>
    </xdr:to>
    <xdr:sp macro="" textlink="">
      <xdr:nvSpPr>
        <xdr:cNvPr id="5" name="Rectangle: Rounded Corners 4">
          <a:extLst>
            <a:ext uri="{FF2B5EF4-FFF2-40B4-BE49-F238E27FC236}">
              <a16:creationId xmlns:a16="http://schemas.microsoft.com/office/drawing/2014/main" id="{E0D3184F-B264-44B1-B7F7-0ABF3EBCF0C3}"/>
            </a:ext>
          </a:extLst>
        </xdr:cNvPr>
        <xdr:cNvSpPr/>
      </xdr:nvSpPr>
      <xdr:spPr>
        <a:xfrm>
          <a:off x="6581775" y="1009650"/>
          <a:ext cx="2552700" cy="1066800"/>
        </a:xfrm>
        <a:prstGeom prst="roundRect">
          <a:avLst/>
        </a:prstGeom>
        <a:solidFill>
          <a:schemeClr val="bg2">
            <a:lumMod val="50000"/>
            <a:alpha val="5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000" b="0" i="0" u="none" strike="noStrike">
              <a:solidFill>
                <a:schemeClr val="bg1"/>
              </a:solidFill>
              <a:effectLst/>
              <a:latin typeface="Calibri" panose="020F0502020204030204" pitchFamily="34" charset="0"/>
            </a:rPr>
            <a:t>Average Sales </a:t>
          </a:r>
          <a:r>
            <a:rPr lang="en-IN" sz="1100" b="0" i="0" u="none" strike="noStrike">
              <a:solidFill>
                <a:schemeClr val="bg1"/>
              </a:solidFill>
              <a:effectLst/>
              <a:latin typeface="+mn-lt"/>
              <a:ea typeface="+mn-ea"/>
              <a:cs typeface="+mn-cs"/>
            </a:rPr>
            <a:t> </a:t>
          </a:r>
        </a:p>
        <a:p>
          <a:pPr algn="ctr"/>
          <a:r>
            <a:rPr lang="en-IN" sz="2000" b="0" i="0" u="none" strike="noStrike">
              <a:solidFill>
                <a:srgbClr val="000000"/>
              </a:solidFill>
              <a:effectLst/>
              <a:latin typeface="Calibri" panose="020F0502020204030204" pitchFamily="34" charset="0"/>
            </a:rPr>
            <a:t>$  916.77 </a:t>
          </a:r>
          <a:endParaRPr lang="en-IN" sz="2000"/>
        </a:p>
      </xdr:txBody>
    </xdr:sp>
    <xdr:clientData/>
  </xdr:twoCellAnchor>
  <xdr:twoCellAnchor>
    <xdr:from>
      <xdr:col>21</xdr:col>
      <xdr:colOff>66674</xdr:colOff>
      <xdr:row>5</xdr:row>
      <xdr:rowOff>66675</xdr:rowOff>
    </xdr:from>
    <xdr:to>
      <xdr:col>26</xdr:col>
      <xdr:colOff>609599</xdr:colOff>
      <xdr:row>10</xdr:row>
      <xdr:rowOff>9525</xdr:rowOff>
    </xdr:to>
    <xdr:sp macro="" textlink="">
      <xdr:nvSpPr>
        <xdr:cNvPr id="8" name="Rectangle: Rounded Corners 7">
          <a:extLst>
            <a:ext uri="{FF2B5EF4-FFF2-40B4-BE49-F238E27FC236}">
              <a16:creationId xmlns:a16="http://schemas.microsoft.com/office/drawing/2014/main" id="{B6970A76-D34D-48B6-8891-B8EE1CD74B44}"/>
            </a:ext>
          </a:extLst>
        </xdr:cNvPr>
        <xdr:cNvSpPr/>
      </xdr:nvSpPr>
      <xdr:spPr>
        <a:xfrm>
          <a:off x="12868274" y="1019175"/>
          <a:ext cx="3590925" cy="1066800"/>
        </a:xfrm>
        <a:prstGeom prst="roundRect">
          <a:avLst/>
        </a:prstGeom>
        <a:solidFill>
          <a:schemeClr val="bg2">
            <a:lumMod val="50000"/>
            <a:alpha val="5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000" b="1" i="0">
              <a:solidFill>
                <a:schemeClr val="lt1"/>
              </a:solidFill>
              <a:effectLst/>
              <a:latin typeface="+mn-lt"/>
              <a:ea typeface="+mn-ea"/>
              <a:cs typeface="+mn-cs"/>
            </a:rPr>
            <a:t>Most Used Payment</a:t>
          </a:r>
          <a:r>
            <a:rPr lang="en-IN" sz="2000" b="1" i="0" baseline="0">
              <a:solidFill>
                <a:schemeClr val="lt1"/>
              </a:solidFill>
              <a:effectLst/>
              <a:latin typeface="+mn-lt"/>
              <a:ea typeface="+mn-ea"/>
              <a:cs typeface="+mn-cs"/>
            </a:rPr>
            <a:t> Method</a:t>
          </a:r>
          <a:r>
            <a:rPr lang="en-IN" sz="2000">
              <a:solidFill>
                <a:schemeClr val="lt1"/>
              </a:solidFill>
              <a:effectLst/>
              <a:latin typeface="+mn-lt"/>
              <a:ea typeface="+mn-ea"/>
              <a:cs typeface="+mn-cs"/>
            </a:rPr>
            <a:t> </a:t>
          </a:r>
          <a:endParaRPr lang="en-IN" sz="4000">
            <a:effectLst/>
          </a:endParaRPr>
        </a:p>
        <a:p>
          <a:pPr algn="ctr"/>
          <a:r>
            <a:rPr lang="en-IN" sz="2400" b="0" i="0" u="none" strike="noStrike">
              <a:solidFill>
                <a:srgbClr val="000000"/>
              </a:solidFill>
              <a:effectLst/>
              <a:latin typeface="Calibri" panose="020F0502020204030204" pitchFamily="34" charset="0"/>
            </a:rPr>
            <a:t>Cash</a:t>
          </a:r>
          <a:r>
            <a:rPr lang="en-IN" sz="2000">
              <a:effectLst/>
            </a:rPr>
            <a:t>  </a:t>
          </a:r>
          <a:endParaRPr lang="en-IN" sz="2000"/>
        </a:p>
      </xdr:txBody>
    </xdr:sp>
    <xdr:clientData/>
  </xdr:twoCellAnchor>
  <xdr:twoCellAnchor>
    <xdr:from>
      <xdr:col>15</xdr:col>
      <xdr:colOff>504825</xdr:colOff>
      <xdr:row>5</xdr:row>
      <xdr:rowOff>47625</xdr:rowOff>
    </xdr:from>
    <xdr:to>
      <xdr:col>20</xdr:col>
      <xdr:colOff>209550</xdr:colOff>
      <xdr:row>9</xdr:row>
      <xdr:rowOff>180975</xdr:rowOff>
    </xdr:to>
    <xdr:sp macro="" textlink="">
      <xdr:nvSpPr>
        <xdr:cNvPr id="9" name="Rectangle: Rounded Corners 8">
          <a:extLst>
            <a:ext uri="{FF2B5EF4-FFF2-40B4-BE49-F238E27FC236}">
              <a16:creationId xmlns:a16="http://schemas.microsoft.com/office/drawing/2014/main" id="{D0C939B6-DF36-44C7-BCC0-292ABDDC9DB7}"/>
            </a:ext>
          </a:extLst>
        </xdr:cNvPr>
        <xdr:cNvSpPr/>
      </xdr:nvSpPr>
      <xdr:spPr>
        <a:xfrm>
          <a:off x="9648825" y="1000125"/>
          <a:ext cx="2752725" cy="1066800"/>
        </a:xfrm>
        <a:prstGeom prst="roundRect">
          <a:avLst/>
        </a:prstGeom>
        <a:solidFill>
          <a:schemeClr val="bg2">
            <a:lumMod val="50000"/>
            <a:alpha val="5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000" b="1" i="0">
              <a:solidFill>
                <a:schemeClr val="lt1"/>
              </a:solidFill>
              <a:effectLst/>
              <a:latin typeface="+mn-lt"/>
              <a:ea typeface="+mn-ea"/>
              <a:cs typeface="+mn-cs"/>
            </a:rPr>
            <a:t>Most Ordered Product</a:t>
          </a:r>
          <a:r>
            <a:rPr lang="en-IN" sz="2000">
              <a:solidFill>
                <a:schemeClr val="lt1"/>
              </a:solidFill>
              <a:effectLst/>
              <a:latin typeface="+mn-lt"/>
              <a:ea typeface="+mn-ea"/>
              <a:cs typeface="+mn-cs"/>
            </a:rPr>
            <a:t> </a:t>
          </a:r>
          <a:endParaRPr lang="en-IN" sz="4000">
            <a:effectLst/>
          </a:endParaRPr>
        </a:p>
        <a:p>
          <a:pPr algn="ctr"/>
          <a:r>
            <a:rPr lang="en-IN" sz="2400" b="0" i="0">
              <a:solidFill>
                <a:schemeClr val="tx1"/>
              </a:solidFill>
              <a:effectLst/>
              <a:latin typeface="+mn-lt"/>
              <a:ea typeface="+mn-ea"/>
              <a:cs typeface="+mn-cs"/>
            </a:rPr>
            <a:t>Bookshelf</a:t>
          </a:r>
          <a:r>
            <a:rPr lang="en-IN" sz="1200">
              <a:solidFill>
                <a:schemeClr val="lt1"/>
              </a:solidFill>
              <a:effectLst/>
              <a:latin typeface="+mn-lt"/>
              <a:ea typeface="+mn-ea"/>
              <a:cs typeface="+mn-cs"/>
            </a:rPr>
            <a:t> </a:t>
          </a:r>
          <a:endParaRPr lang="en-IN" sz="2400">
            <a:effectLst/>
          </a:endParaRPr>
        </a:p>
        <a:p>
          <a:pPr algn="ctr"/>
          <a:endParaRPr lang="en-IN" sz="2000"/>
        </a:p>
      </xdr:txBody>
    </xdr:sp>
    <xdr:clientData/>
  </xdr:twoCellAnchor>
  <xdr:twoCellAnchor>
    <xdr:from>
      <xdr:col>0</xdr:col>
      <xdr:colOff>219075</xdr:colOff>
      <xdr:row>12</xdr:row>
      <xdr:rowOff>28574</xdr:rowOff>
    </xdr:from>
    <xdr:to>
      <xdr:col>8</xdr:col>
      <xdr:colOff>219075</xdr:colOff>
      <xdr:row>32</xdr:row>
      <xdr:rowOff>114299</xdr:rowOff>
    </xdr:to>
    <xdr:graphicFrame macro="">
      <xdr:nvGraphicFramePr>
        <xdr:cNvPr id="6" name="Chart 5">
          <a:extLst>
            <a:ext uri="{FF2B5EF4-FFF2-40B4-BE49-F238E27FC236}">
              <a16:creationId xmlns:a16="http://schemas.microsoft.com/office/drawing/2014/main" id="{5F3BA9CE-8B38-4CE7-88D8-0BC7E287F3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600074</xdr:colOff>
      <xdr:row>12</xdr:row>
      <xdr:rowOff>38099</xdr:rowOff>
    </xdr:from>
    <xdr:to>
      <xdr:col>17</xdr:col>
      <xdr:colOff>171449</xdr:colOff>
      <xdr:row>32</xdr:row>
      <xdr:rowOff>85724</xdr:rowOff>
    </xdr:to>
    <xdr:graphicFrame macro="">
      <xdr:nvGraphicFramePr>
        <xdr:cNvPr id="7" name="Chart 6">
          <a:extLst>
            <a:ext uri="{FF2B5EF4-FFF2-40B4-BE49-F238E27FC236}">
              <a16:creationId xmlns:a16="http://schemas.microsoft.com/office/drawing/2014/main" id="{545F4273-45BA-410E-9E60-B5391A9DC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590550</xdr:colOff>
      <xdr:row>12</xdr:row>
      <xdr:rowOff>57149</xdr:rowOff>
    </xdr:from>
    <xdr:to>
      <xdr:col>27</xdr:col>
      <xdr:colOff>247650</xdr:colOff>
      <xdr:row>32</xdr:row>
      <xdr:rowOff>66674</xdr:rowOff>
    </xdr:to>
    <xdr:graphicFrame macro="">
      <xdr:nvGraphicFramePr>
        <xdr:cNvPr id="10" name="Chart 9">
          <a:extLst>
            <a:ext uri="{FF2B5EF4-FFF2-40B4-BE49-F238E27FC236}">
              <a16:creationId xmlns:a16="http://schemas.microsoft.com/office/drawing/2014/main" id="{792207C4-F0EE-4587-BA79-53B9EBD7D0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495822</xdr:colOff>
      <xdr:row>34</xdr:row>
      <xdr:rowOff>182672</xdr:rowOff>
    </xdr:from>
    <xdr:to>
      <xdr:col>27</xdr:col>
      <xdr:colOff>104384</xdr:colOff>
      <xdr:row>56</xdr:row>
      <xdr:rowOff>169623</xdr:rowOff>
    </xdr:to>
    <xdr:sp macro="" textlink="">
      <xdr:nvSpPr>
        <xdr:cNvPr id="11" name="Rectangle: Rounded Corners 10">
          <a:extLst>
            <a:ext uri="{FF2B5EF4-FFF2-40B4-BE49-F238E27FC236}">
              <a16:creationId xmlns:a16="http://schemas.microsoft.com/office/drawing/2014/main" id="{73461B00-EABF-5A59-45B1-FEC0CEDEC257}"/>
            </a:ext>
          </a:extLst>
        </xdr:cNvPr>
        <xdr:cNvSpPr/>
      </xdr:nvSpPr>
      <xdr:spPr>
        <a:xfrm>
          <a:off x="6015103" y="7006747"/>
          <a:ext cx="10647123" cy="429277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t>Key Insights</a:t>
          </a:r>
          <a:endParaRPr lang="en-IN" sz="1600"/>
        </a:p>
        <a:p>
          <a:pPr algn="l"/>
          <a:endParaRPr lang="en-IN" sz="1400"/>
        </a:p>
        <a:p>
          <a:pPr lvl="0"/>
          <a:r>
            <a:rPr lang="en-IN" sz="1600"/>
            <a:t>1) Total revenue is ~$229.2K, driven heavily by Electronics (~$171.8K, ~75% of sales) — Laptops and Smartphones alone contribute ~$134.7K.</a:t>
          </a:r>
        </a:p>
        <a:p>
          <a:pPr lvl="0"/>
          <a:endParaRPr lang="en-IN" sz="1600"/>
        </a:p>
        <a:p>
          <a:pPr lvl="0"/>
          <a:r>
            <a:rPr lang="en-IN" sz="1600"/>
            <a:t>2) East region leads (~$59.3K), followed by North, West, Central, and South — East outpaces the lowest (South) by ~63%.</a:t>
          </a:r>
        </a:p>
        <a:p>
          <a:pPr lvl="0"/>
          <a:endParaRPr lang="en-IN" sz="1600"/>
        </a:p>
        <a:p>
          <a:pPr lvl="0"/>
          <a:r>
            <a:rPr lang="en-IN" sz="1600"/>
            <a:t>3) Premium and Standard customer segments are nearly tied (~$84.7K vs ~$82.4K), with Basic trailing at ~$62.2K.</a:t>
          </a:r>
        </a:p>
        <a:p>
          <a:pPr lvl="0"/>
          <a:endParaRPr lang="en-IN" sz="1600"/>
        </a:p>
        <a:p>
          <a:pPr lvl="0"/>
          <a:r>
            <a:rPr lang="en-IN" sz="1600"/>
            <a:t>4) Payment methods are fairly balanced, with Credit Card slightly ahead (~$61.4K) over PayPal, Cash, and Debit Card.</a:t>
          </a:r>
        </a:p>
        <a:p>
          <a:pPr lvl="0"/>
          <a:endParaRPr lang="en-IN" sz="1600"/>
        </a:p>
        <a:p>
          <a:pPr lvl="0"/>
          <a:r>
            <a:rPr lang="en-IN" sz="1600"/>
            <a:t>5) Average order value is ~$917, and average customer tenure is ~3.3 years, suggesting a loyal, repeat-buying customer base.</a:t>
          </a:r>
        </a:p>
        <a:p>
          <a:pPr algn="l"/>
          <a:endParaRPr lang="en-IN" sz="1400"/>
        </a:p>
      </xdr:txBody>
    </xdr:sp>
    <xdr:clientData/>
  </xdr:twoCellAnchor>
  <xdr:twoCellAnchor editAs="oneCell">
    <xdr:from>
      <xdr:col>27</xdr:col>
      <xdr:colOff>570456</xdr:colOff>
      <xdr:row>2</xdr:row>
      <xdr:rowOff>48279</xdr:rowOff>
    </xdr:from>
    <xdr:to>
      <xdr:col>33</xdr:col>
      <xdr:colOff>613252</xdr:colOff>
      <xdr:row>11</xdr:row>
      <xdr:rowOff>65240</xdr:rowOff>
    </xdr:to>
    <mc:AlternateContent xmlns:mc="http://schemas.openxmlformats.org/markup-compatibility/2006">
      <mc:Choice xmlns:a14="http://schemas.microsoft.com/office/drawing/2010/main" Requires="a14">
        <xdr:graphicFrame macro="">
          <xdr:nvGraphicFramePr>
            <xdr:cNvPr id="12" name="Months (Date)">
              <a:extLst>
                <a:ext uri="{FF2B5EF4-FFF2-40B4-BE49-F238E27FC236}">
                  <a16:creationId xmlns:a16="http://schemas.microsoft.com/office/drawing/2014/main" id="{DBE72B36-07D3-AA00-0EB3-4884421148EA}"/>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dr:sp macro="" textlink="">
          <xdr:nvSpPr>
            <xdr:cNvPr id="0" name=""/>
            <xdr:cNvSpPr>
              <a:spLocks noTextEdit="1"/>
            </xdr:cNvSpPr>
          </xdr:nvSpPr>
          <xdr:spPr>
            <a:xfrm>
              <a:off x="17128298" y="439717"/>
              <a:ext cx="3722317" cy="19480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2.965617245369" createdVersion="8" refreshedVersion="8" minRefreshableVersion="3" recordCount="250" xr:uid="{ADD10F46-8B31-4576-87C4-7AB46765111D}">
  <cacheSource type="worksheet">
    <worksheetSource ref="A1:Q251" sheet="Data"/>
  </cacheSource>
  <cacheFields count="20">
    <cacheField name="Transaction_ID" numFmtId="0">
      <sharedItems count="250">
        <s v="TRX0155"/>
        <s v="TRX0023"/>
        <s v="TRX0139"/>
        <s v="TRX0043"/>
        <s v="TRX0212"/>
        <s v="TRX0092"/>
        <s v="TRX0193"/>
        <s v="TRX0240"/>
        <s v="TRX0135"/>
        <s v="TRX0185"/>
        <s v="TRX0138"/>
        <s v="TRX0209"/>
        <s v="TRX0246"/>
        <s v="TRX0067"/>
        <s v="TRX0191"/>
        <s v="TRX0230"/>
        <s v="TRX0049"/>
        <s v="TRX0134"/>
        <s v="TRX0122"/>
        <s v="TRX0222"/>
        <s v="TRX0231"/>
        <s v="TRX0239"/>
        <s v="TRX0204"/>
        <s v="TRX0242"/>
        <s v="TRX0071"/>
        <s v="TRX0040"/>
        <s v="TRX0235"/>
        <s v="TRX0004"/>
        <s v="TRX0063"/>
        <s v="TRX0241"/>
        <s v="TRX0029"/>
        <s v="TRX0194"/>
        <s v="TRX0130"/>
        <s v="TRX0041"/>
        <s v="TRX0232"/>
        <s v="TRX0021"/>
        <s v="TRX0245"/>
        <s v="TRX0015"/>
        <s v="TRX0202"/>
        <s v="TRX0042"/>
        <s v="TRX0128"/>
        <s v="TRX0117"/>
        <s v="TRX0208"/>
        <s v="TRX0234"/>
        <s v="TRX0121"/>
        <s v="TRX0220"/>
        <s v="TRX0093"/>
        <s v="TRX0088"/>
        <s v="TRX0115"/>
        <s v="TRX0154"/>
        <s v="TRX0044"/>
        <s v="TRX0061"/>
        <s v="TRX0150"/>
        <s v="TRX0025"/>
        <s v="TRX0078"/>
        <s v="TRX0007"/>
        <s v="TRX0184"/>
        <s v="TRX0104"/>
        <s v="TRX0127"/>
        <s v="TRX0096"/>
        <s v="TRX0192"/>
        <s v="TRX0052"/>
        <s v="TRX0070"/>
        <s v="TRX0086"/>
        <s v="TRX0113"/>
        <s v="TRX0114"/>
        <s v="TRX0136"/>
        <s v="TRX0018"/>
        <s v="TRX0141"/>
        <s v="TRX0097"/>
        <s v="TRX0169"/>
        <s v="TRX0216"/>
        <s v="TRX0131"/>
        <s v="TRX0162"/>
        <s v="TRX0244"/>
        <s v="TRX0006"/>
        <s v="TRX0215"/>
        <s v="TRX0080"/>
        <s v="TRX0228"/>
        <s v="TRX0157"/>
        <s v="TRX0002"/>
        <s v="TRX0217"/>
        <s v="TRX0249"/>
        <s v="TRX0065"/>
        <s v="TRX0176"/>
        <s v="TRX0101"/>
        <s v="TRX0205"/>
        <s v="TRX0020"/>
        <s v="TRX0075"/>
        <s v="TRX0098"/>
        <s v="TRX0247"/>
        <s v="TRX0027"/>
        <s v="TRX0140"/>
        <s v="TRX0132"/>
        <s v="TRX0031"/>
        <s v="TRX0236"/>
        <s v="TRX0001"/>
        <s v="TRX0037"/>
        <s v="TRX0058"/>
        <s v="TRX0170"/>
        <s v="TRX0248"/>
        <s v="TRX0099"/>
        <s v="TRX0074"/>
        <s v="TRX0225"/>
        <s v="TRX0100"/>
        <s v="TRX0142"/>
        <s v="TRX0112"/>
        <s v="TRX0161"/>
        <s v="TRX0108"/>
        <s v="TRX0211"/>
        <s v="TRX0005"/>
        <s v="TRX0195"/>
        <s v="TRX0054"/>
        <s v="TRX0077"/>
        <s v="TRX0111"/>
        <s v="TRX0123"/>
        <s v="TRX0177"/>
        <s v="TRX0119"/>
        <s v="TRX0181"/>
        <s v="TRX0129"/>
        <s v="TRX0174"/>
        <s v="TRX0146"/>
        <s v="TRX0203"/>
        <s v="TRX0055"/>
        <s v="TRX0218"/>
        <s v="TRX0085"/>
        <s v="TRX0158"/>
        <s v="TRX0173"/>
        <s v="TRX0034"/>
        <s v="TRX0189"/>
        <s v="TRX0190"/>
        <s v="TRX0079"/>
        <s v="TRX0095"/>
        <s v="TRX0009"/>
        <s v="TRX0167"/>
        <s v="TRX0153"/>
        <s v="TRX0057"/>
        <s v="TRX0017"/>
        <s v="TRX0060"/>
        <s v="TRX0109"/>
        <s v="TRX0090"/>
        <s v="TRX0035"/>
        <s v="TRX0172"/>
        <s v="TRX0076"/>
        <s v="TRX0210"/>
        <s v="TRX0149"/>
        <s v="TRX0073"/>
        <s v="TRX0033"/>
        <s v="TRX0160"/>
        <s v="TRX0145"/>
        <s v="TRX0148"/>
        <s v="TRX0012"/>
        <s v="TRX0206"/>
        <s v="TRX0045"/>
        <s v="TRX0094"/>
        <s v="TRX0133"/>
        <s v="TRX0201"/>
        <s v="TRX0137"/>
        <s v="TRX0066"/>
        <s v="TRX0180"/>
        <s v="TRX0082"/>
        <s v="TRX0036"/>
        <s v="TRX0198"/>
        <s v="TRX0032"/>
        <s v="TRX0081"/>
        <s v="TRX0224"/>
        <s v="TRX0028"/>
        <s v="TRX0183"/>
        <s v="TRX0163"/>
        <s v="TRX0046"/>
        <s v="TRX0164"/>
        <s v="TRX0008"/>
        <s v="TRX0171"/>
        <s v="TRX0143"/>
        <s v="TRX0165"/>
        <s v="TRX0156"/>
        <s v="TRX0147"/>
        <s v="TRX0207"/>
        <s v="TRX0056"/>
        <s v="TRX0026"/>
        <s v="TRX0237"/>
        <s v="TRX0091"/>
        <s v="TRX0125"/>
        <s v="TRX0223"/>
        <s v="TRX0243"/>
        <s v="TRX0084"/>
        <s v="TRX0238"/>
        <s v="TRX0102"/>
        <s v="TRX0022"/>
        <s v="TRX0087"/>
        <s v="TRX0107"/>
        <s v="TRX0051"/>
        <s v="TRX0106"/>
        <s v="TRX0059"/>
        <s v="TRX0072"/>
        <s v="TRX0110"/>
        <s v="TRX0126"/>
        <s v="TRX0159"/>
        <s v="TRX0030"/>
        <s v="TRX0178"/>
        <s v="TRX0188"/>
        <s v="TRX0010"/>
        <s v="TRX0069"/>
        <s v="TRX0166"/>
        <s v="TRX0219"/>
        <s v="TRX0024"/>
        <s v="TRX0105"/>
        <s v="TRX0011"/>
        <s v="TRX0187"/>
        <s v="TRX0089"/>
        <s v="TRX0196"/>
        <s v="TRX0118"/>
        <s v="TRX0179"/>
        <s v="TRX0168"/>
        <s v="TRX0214"/>
        <s v="TRX0221"/>
        <s v="TRX0083"/>
        <s v="TRX0151"/>
        <s v="TRX0047"/>
        <s v="TRX0200"/>
        <s v="TRX0062"/>
        <s v="TRX0182"/>
        <s v="TRX0229"/>
        <s v="TRX0048"/>
        <s v="TRX0227"/>
        <s v="TRX0226"/>
        <s v="TRX0053"/>
        <s v="TRX0233"/>
        <s v="TRX0175"/>
        <s v="TRX0186"/>
        <s v="TRX0016"/>
        <s v="TRX0199"/>
        <s v="TRX0038"/>
        <s v="TRX0014"/>
        <s v="TRX0003"/>
        <s v="TRX0124"/>
        <s v="TRX0013"/>
        <s v="TRX0019"/>
        <s v="TRX0050"/>
        <s v="TRX0152"/>
        <s v="TRX0213"/>
        <s v="TRX0197"/>
        <s v="TRX0250"/>
        <s v="TRX0068"/>
        <s v="TRX0144"/>
        <s v="TRX0039"/>
        <s v="TRX0116"/>
        <s v="TRX0120"/>
        <s v="TRX0103"/>
        <s v="TRX0064"/>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9"/>
    </cacheField>
    <cacheField name="Customer_ID" numFmtId="0">
      <sharedItems count="50">
        <s v="CUST023"/>
        <s v="CUST013"/>
        <s v="CUST021"/>
        <s v="CUST046"/>
        <s v="CUST003"/>
        <s v="CUST024"/>
        <s v="CUST017"/>
        <s v="CUST009"/>
        <s v="CUST026"/>
        <s v="CUST022"/>
        <s v="CUST041"/>
        <s v="CUST043"/>
        <s v="CUST038"/>
        <s v="CUST027"/>
        <s v="CUST025"/>
        <s v="CUST010"/>
        <s v="CUST048"/>
        <s v="CUST018"/>
        <s v="CUST012"/>
        <s v="CUST044"/>
        <s v="CUST036"/>
        <s v="CUST014"/>
        <s v="CUST030"/>
        <s v="CUST029"/>
        <s v="CUST006"/>
        <s v="CUST002"/>
        <s v="CUST031"/>
        <s v="CUST008"/>
        <s v="CUST035"/>
        <s v="CUST019"/>
        <s v="CUST040"/>
        <s v="CUST004"/>
        <s v="CUST028"/>
        <s v="CUST050"/>
        <s v="CUST049"/>
        <s v="CUST007"/>
        <s v="CUST020"/>
        <s v="CUST033"/>
        <s v="CUST047"/>
        <s v="CUST016"/>
        <s v="CUST039"/>
        <s v="CUST034"/>
        <s v="CUST032"/>
        <s v="CUST042"/>
        <s v="CUST011"/>
        <s v="CUST015"/>
        <s v="CUST045"/>
        <s v="CUST005"/>
        <s v="CUST037"/>
        <s v="CUST001"/>
      </sharedItems>
    </cacheField>
    <cacheField name="Customer_Name" numFmtId="0">
      <sharedItems/>
    </cacheField>
    <cacheField name="Product_ID" numFmtId="0">
      <sharedItems count="10">
        <s v="P009"/>
        <s v="P005"/>
        <s v="P008"/>
        <s v="P003"/>
        <s v="P001"/>
        <s v="P002"/>
        <s v="P007"/>
        <s v="P004"/>
        <s v="P010"/>
        <s v="P006"/>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165">
      <sharedItems containsSemiMixedTypes="0" containsString="0" containsNumber="1" minValue="59.99" maxValue="899.99" count="9">
        <n v="249.99"/>
        <n v="59.99"/>
        <n v="149.99"/>
        <n v="899.99"/>
        <n v="699.99"/>
        <n v="299.99"/>
        <n v="79.989999999999995"/>
        <n v="89.99"/>
        <n v="199.99"/>
      </sharedItems>
    </cacheField>
    <cacheField name="Payment_Method" numFmtId="0">
      <sharedItems count="4">
        <s v="Cash"/>
        <s v="Credit Card"/>
        <s v="PayPal"/>
        <s v="Debit Card"/>
      </sharedItems>
    </cacheField>
    <cacheField name="Region" numFmtId="0">
      <sharedItems/>
    </cacheField>
    <cacheField name="Customer_Segment" numFmtId="0">
      <sharedItems/>
    </cacheField>
    <cacheField name="Customer_Since" numFmtId="14">
      <sharedItems containsSemiMixedTypes="0" containsNonDate="0" containsDate="1" containsString="0" minDate="2021-07-18T00:00:00" maxDate="2024-04-12T00:00:00"/>
    </cacheField>
    <cacheField name="Total_Amount" numFmtId="165">
      <sharedItems containsSemiMixedTypes="0" containsString="0" containsNumber="1" minValue="59.99" maxValue="4499.95"/>
    </cacheField>
    <cacheField name="Today" numFmtId="14">
      <sharedItems containsSemiMixedTypes="0" containsNonDate="0" containsDate="1" containsString="0" minDate="2026-09-17T00:00:00" maxDate="2026-09-18T00:00:00"/>
    </cacheField>
    <cacheField name="Timestamp" numFmtId="164">
      <sharedItems containsSemiMixedTypes="0" containsNonDate="0" containsDate="1" containsString="0" minDate="2026-09-17T23:10:06" maxDate="2026-09-17T23:10:06"/>
    </cacheField>
    <cacheField name="Customer Tenure(Years)" numFmtId="0">
      <sharedItems containsSemiMixedTypes="0" containsString="0" containsNumber="1" containsInteger="1" minValue="2" maxValue="5" count="4">
        <n v="5"/>
        <n v="4"/>
        <n v="2"/>
        <n v="3"/>
      </sharedItems>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620631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x v="0"/>
    <s v="Paul Baker"/>
    <x v="0"/>
    <x v="0"/>
    <x v="0"/>
    <n v="3"/>
    <x v="0"/>
    <x v="0"/>
    <s v="Central"/>
    <s v="Basic"/>
    <d v="2021-08-17T00:00:00"/>
    <n v="749.97"/>
    <d v="2026-09-17T00:00:00"/>
    <d v="2026-09-17T23:10:06"/>
    <x v="0"/>
  </r>
  <r>
    <x v="1"/>
    <x v="1"/>
    <x v="1"/>
    <s v="Joseph Jackson"/>
    <x v="0"/>
    <x v="0"/>
    <x v="0"/>
    <n v="3"/>
    <x v="0"/>
    <x v="1"/>
    <s v="Central"/>
    <s v="Premium"/>
    <d v="2022-01-14T00:00:00"/>
    <n v="749.97"/>
    <d v="2026-09-17T00:00:00"/>
    <d v="2026-09-17T23:10:06"/>
    <x v="1"/>
  </r>
  <r>
    <x v="2"/>
    <x v="2"/>
    <x v="2"/>
    <s v="Kevin Scott"/>
    <x v="1"/>
    <x v="1"/>
    <x v="1"/>
    <n v="3"/>
    <x v="1"/>
    <x v="2"/>
    <s v="South"/>
    <s v="Standard"/>
    <d v="2023-12-02T00:00:00"/>
    <n v="179.97"/>
    <d v="2026-09-17T00:00:00"/>
    <d v="2026-09-17T23:10:06"/>
    <x v="2"/>
  </r>
  <r>
    <x v="3"/>
    <x v="3"/>
    <x v="3"/>
    <s v="Kathleen Bennett"/>
    <x v="1"/>
    <x v="1"/>
    <x v="1"/>
    <n v="3"/>
    <x v="1"/>
    <x v="0"/>
    <s v="North"/>
    <s v="Premium"/>
    <d v="2023-07-07T00:00:00"/>
    <n v="179.97"/>
    <d v="2026-09-17T00:00:00"/>
    <d v="2026-09-17T23:10:06"/>
    <x v="3"/>
  </r>
  <r>
    <x v="4"/>
    <x v="3"/>
    <x v="4"/>
    <s v="Michael Brown"/>
    <x v="2"/>
    <x v="2"/>
    <x v="2"/>
    <n v="5"/>
    <x v="2"/>
    <x v="1"/>
    <s v="North"/>
    <s v="Premium"/>
    <d v="2024-01-04T00:00:00"/>
    <n v="749.95"/>
    <d v="2026-09-17T00:00:00"/>
    <d v="2026-09-17T23:10:06"/>
    <x v="2"/>
  </r>
  <r>
    <x v="5"/>
    <x v="4"/>
    <x v="5"/>
    <s v="Dorothy Nelson"/>
    <x v="1"/>
    <x v="1"/>
    <x v="1"/>
    <n v="2"/>
    <x v="1"/>
    <x v="0"/>
    <s v="West"/>
    <s v="Standard"/>
    <d v="2022-07-04T00:00:00"/>
    <n v="119.98"/>
    <d v="2026-09-17T00:00:00"/>
    <d v="2026-09-17T23:10:06"/>
    <x v="1"/>
  </r>
  <r>
    <x v="6"/>
    <x v="4"/>
    <x v="5"/>
    <s v="Dorothy Nelson"/>
    <x v="3"/>
    <x v="3"/>
    <x v="0"/>
    <n v="5"/>
    <x v="2"/>
    <x v="1"/>
    <s v="Central"/>
    <s v="Standard"/>
    <d v="2021-08-10T00:00:00"/>
    <n v="749.95"/>
    <d v="2026-09-17T00:00:00"/>
    <d v="2026-09-17T23:10:06"/>
    <x v="0"/>
  </r>
  <r>
    <x v="7"/>
    <x v="4"/>
    <x v="6"/>
    <s v="Charles Allen"/>
    <x v="1"/>
    <x v="1"/>
    <x v="1"/>
    <n v="3"/>
    <x v="1"/>
    <x v="3"/>
    <s v="South"/>
    <s v="Basic"/>
    <d v="2023-03-22T00:00:00"/>
    <n v="179.97"/>
    <d v="2026-09-17T00:00:00"/>
    <d v="2026-09-17T23:10:06"/>
    <x v="3"/>
  </r>
  <r>
    <x v="8"/>
    <x v="5"/>
    <x v="7"/>
    <s v="Robert Thomas"/>
    <x v="4"/>
    <x v="4"/>
    <x v="0"/>
    <n v="3"/>
    <x v="3"/>
    <x v="2"/>
    <s v="East"/>
    <s v="Standard"/>
    <d v="2024-01-08T00:00:00"/>
    <n v="2699.97"/>
    <d v="2026-09-17T00:00:00"/>
    <d v="2026-09-17T23:10:06"/>
    <x v="2"/>
  </r>
  <r>
    <x v="9"/>
    <x v="6"/>
    <x v="8"/>
    <s v="Karen Hill"/>
    <x v="1"/>
    <x v="1"/>
    <x v="1"/>
    <n v="3"/>
    <x v="1"/>
    <x v="0"/>
    <s v="West"/>
    <s v="Premium"/>
    <d v="2023-10-08T00:00:00"/>
    <n v="179.97"/>
    <d v="2026-09-17T00:00:00"/>
    <d v="2026-09-17T23:10:06"/>
    <x v="2"/>
  </r>
  <r>
    <x v="10"/>
    <x v="6"/>
    <x v="9"/>
    <s v="Susan Green"/>
    <x v="2"/>
    <x v="2"/>
    <x v="2"/>
    <n v="1"/>
    <x v="2"/>
    <x v="1"/>
    <s v="West"/>
    <s v="Standard"/>
    <d v="2023-06-26T00:00:00"/>
    <n v="149.99"/>
    <d v="2026-09-17T00:00:00"/>
    <d v="2026-09-17T23:10:06"/>
    <x v="3"/>
  </r>
  <r>
    <x v="11"/>
    <x v="6"/>
    <x v="3"/>
    <s v="Kathleen Bennett"/>
    <x v="2"/>
    <x v="2"/>
    <x v="2"/>
    <n v="5"/>
    <x v="2"/>
    <x v="3"/>
    <s v="North"/>
    <s v="Basic"/>
    <d v="2022-09-26T00:00:00"/>
    <n v="749.95"/>
    <d v="2026-09-17T00:00:00"/>
    <d v="2026-09-17T23:10:06"/>
    <x v="3"/>
  </r>
  <r>
    <x v="12"/>
    <x v="6"/>
    <x v="10"/>
    <s v="Peter Richardson"/>
    <x v="2"/>
    <x v="2"/>
    <x v="2"/>
    <n v="3"/>
    <x v="2"/>
    <x v="0"/>
    <s v="North"/>
    <s v="Premium"/>
    <d v="2022-09-02T00:00:00"/>
    <n v="449.97"/>
    <d v="2026-09-17T00:00:00"/>
    <d v="2026-09-17T23:10:06"/>
    <x v="1"/>
  </r>
  <r>
    <x v="13"/>
    <x v="7"/>
    <x v="11"/>
    <s v="Dennis Gray"/>
    <x v="1"/>
    <x v="1"/>
    <x v="1"/>
    <n v="3"/>
    <x v="1"/>
    <x v="1"/>
    <s v="North"/>
    <s v="Standard"/>
    <d v="2024-02-29T00:00:00"/>
    <n v="179.97"/>
    <d v="2026-09-17T00:00:00"/>
    <d v="2026-09-17T23:10:06"/>
    <x v="2"/>
  </r>
  <r>
    <x v="14"/>
    <x v="7"/>
    <x v="12"/>
    <s v="Michelle Rogers"/>
    <x v="5"/>
    <x v="5"/>
    <x v="0"/>
    <n v="3"/>
    <x v="4"/>
    <x v="1"/>
    <s v="West"/>
    <s v="Basic"/>
    <d v="2022-01-16T00:00:00"/>
    <n v="2099.9699999999998"/>
    <d v="2026-09-17T00:00:00"/>
    <d v="2026-09-17T23:10:06"/>
    <x v="1"/>
  </r>
  <r>
    <x v="15"/>
    <x v="7"/>
    <x v="13"/>
    <s v="George Adams"/>
    <x v="4"/>
    <x v="4"/>
    <x v="0"/>
    <n v="1"/>
    <x v="3"/>
    <x v="3"/>
    <s v="North"/>
    <s v="Standard"/>
    <d v="2022-12-25T00:00:00"/>
    <n v="899.99"/>
    <d v="2026-09-17T00:00:00"/>
    <d v="2026-09-17T23:10:06"/>
    <x v="3"/>
  </r>
  <r>
    <x v="16"/>
    <x v="8"/>
    <x v="14"/>
    <s v="Mark Carter"/>
    <x v="2"/>
    <x v="2"/>
    <x v="2"/>
    <n v="4"/>
    <x v="2"/>
    <x v="3"/>
    <s v="North"/>
    <s v="Premium"/>
    <d v="2024-03-23T00:00:00"/>
    <n v="599.96"/>
    <d v="2026-09-17T00:00:00"/>
    <d v="2026-09-17T23:10:06"/>
    <x v="2"/>
  </r>
  <r>
    <x v="17"/>
    <x v="8"/>
    <x v="15"/>
    <s v="Maria Garcia"/>
    <x v="5"/>
    <x v="5"/>
    <x v="0"/>
    <n v="2"/>
    <x v="4"/>
    <x v="0"/>
    <s v="North"/>
    <s v="Basic"/>
    <d v="2022-08-08T00:00:00"/>
    <n v="1399.98"/>
    <d v="2026-09-17T00:00:00"/>
    <d v="2026-09-17T23:10:06"/>
    <x v="1"/>
  </r>
  <r>
    <x v="18"/>
    <x v="8"/>
    <x v="14"/>
    <s v="Mark Carter"/>
    <x v="4"/>
    <x v="4"/>
    <x v="0"/>
    <n v="4"/>
    <x v="3"/>
    <x v="1"/>
    <s v="West"/>
    <s v="Standard"/>
    <d v="2024-02-05T00:00:00"/>
    <n v="3599.96"/>
    <d v="2026-09-17T00:00:00"/>
    <d v="2026-09-17T23:10:06"/>
    <x v="2"/>
  </r>
  <r>
    <x v="19"/>
    <x v="8"/>
    <x v="16"/>
    <s v="Virginia Sanders"/>
    <x v="0"/>
    <x v="0"/>
    <x v="0"/>
    <n v="3"/>
    <x v="0"/>
    <x v="1"/>
    <s v="North"/>
    <s v="Premium"/>
    <d v="2023-10-25T00:00:00"/>
    <n v="749.97"/>
    <d v="2026-09-17T00:00:00"/>
    <d v="2026-09-17T23:10:06"/>
    <x v="2"/>
  </r>
  <r>
    <x v="20"/>
    <x v="9"/>
    <x v="17"/>
    <s v="Barbara Young"/>
    <x v="5"/>
    <x v="5"/>
    <x v="0"/>
    <n v="5"/>
    <x v="4"/>
    <x v="0"/>
    <s v="West"/>
    <s v="Basic"/>
    <d v="2023-08-29T00:00:00"/>
    <n v="3499.95"/>
    <d v="2026-09-17T00:00:00"/>
    <d v="2026-09-17T23:10:06"/>
    <x v="3"/>
  </r>
  <r>
    <x v="21"/>
    <x v="10"/>
    <x v="18"/>
    <s v="Patricia Moore"/>
    <x v="5"/>
    <x v="5"/>
    <x v="0"/>
    <n v="4"/>
    <x v="4"/>
    <x v="0"/>
    <s v="East"/>
    <s v="Standard"/>
    <d v="2021-08-01T00:00:00"/>
    <n v="2799.96"/>
    <d v="2026-09-17T00:00:00"/>
    <d v="2026-09-17T23:10:06"/>
    <x v="0"/>
  </r>
  <r>
    <x v="22"/>
    <x v="11"/>
    <x v="19"/>
    <s v="Cynthia Price"/>
    <x v="0"/>
    <x v="0"/>
    <x v="0"/>
    <n v="4"/>
    <x v="0"/>
    <x v="2"/>
    <s v="North"/>
    <s v="Standard"/>
    <d v="2021-09-29T00:00:00"/>
    <n v="999.96"/>
    <d v="2026-09-17T00:00:00"/>
    <d v="2026-09-17T23:10:06"/>
    <x v="1"/>
  </r>
  <r>
    <x v="23"/>
    <x v="12"/>
    <x v="14"/>
    <s v="Mark Carter"/>
    <x v="6"/>
    <x v="6"/>
    <x v="2"/>
    <n v="4"/>
    <x v="5"/>
    <x v="0"/>
    <s v="West"/>
    <s v="Premium"/>
    <d v="2022-06-04T00:00:00"/>
    <n v="1199.96"/>
    <d v="2026-09-17T00:00:00"/>
    <d v="2026-09-17T23:10:06"/>
    <x v="1"/>
  </r>
  <r>
    <x v="24"/>
    <x v="13"/>
    <x v="20"/>
    <s v="Nancy Collins"/>
    <x v="0"/>
    <x v="0"/>
    <x v="0"/>
    <n v="5"/>
    <x v="0"/>
    <x v="1"/>
    <s v="West"/>
    <s v="Standard"/>
    <d v="2021-11-25T00:00:00"/>
    <n v="1249.95"/>
    <d v="2026-09-17T00:00:00"/>
    <d v="2026-09-17T23:10:06"/>
    <x v="1"/>
  </r>
  <r>
    <x v="25"/>
    <x v="14"/>
    <x v="9"/>
    <s v="Susan Green"/>
    <x v="6"/>
    <x v="6"/>
    <x v="2"/>
    <n v="5"/>
    <x v="5"/>
    <x v="2"/>
    <s v="East"/>
    <s v="Basic"/>
    <d v="2023-08-30T00:00:00"/>
    <n v="1499.95"/>
    <d v="2026-09-17T00:00:00"/>
    <d v="2026-09-17T23:10:06"/>
    <x v="3"/>
  </r>
  <r>
    <x v="26"/>
    <x v="14"/>
    <x v="21"/>
    <s v="Linda Martin"/>
    <x v="7"/>
    <x v="7"/>
    <x v="1"/>
    <n v="3"/>
    <x v="6"/>
    <x v="2"/>
    <s v="East"/>
    <s v="Premium"/>
    <d v="2023-03-27T00:00:00"/>
    <n v="239.97"/>
    <d v="2026-09-17T00:00:00"/>
    <d v="2026-09-17T23:10:06"/>
    <x v="3"/>
  </r>
  <r>
    <x v="27"/>
    <x v="14"/>
    <x v="18"/>
    <s v="Patricia Moore"/>
    <x v="8"/>
    <x v="8"/>
    <x v="0"/>
    <n v="5"/>
    <x v="7"/>
    <x v="0"/>
    <s v="North"/>
    <s v="Premium"/>
    <d v="2022-12-24T00:00:00"/>
    <n v="449.95"/>
    <d v="2026-09-17T00:00:00"/>
    <d v="2026-09-17T23:10:06"/>
    <x v="3"/>
  </r>
  <r>
    <x v="28"/>
    <x v="15"/>
    <x v="22"/>
    <s v="Helen Roberts"/>
    <x v="1"/>
    <x v="1"/>
    <x v="1"/>
    <n v="2"/>
    <x v="1"/>
    <x v="3"/>
    <s v="Central"/>
    <s v="Standard"/>
    <d v="2023-10-15T00:00:00"/>
    <n v="119.98"/>
    <d v="2026-09-17T00:00:00"/>
    <d v="2026-09-17T23:10:06"/>
    <x v="2"/>
  </r>
  <r>
    <x v="29"/>
    <x v="16"/>
    <x v="23"/>
    <s v="Edward Mitchell"/>
    <x v="1"/>
    <x v="1"/>
    <x v="1"/>
    <n v="4"/>
    <x v="1"/>
    <x v="3"/>
    <s v="East"/>
    <s v="Standard"/>
    <d v="2022-11-02T00:00:00"/>
    <n v="239.96"/>
    <d v="2026-09-17T00:00:00"/>
    <d v="2026-09-17T23:10:06"/>
    <x v="3"/>
  </r>
  <r>
    <x v="30"/>
    <x v="16"/>
    <x v="6"/>
    <s v="Charles Allen"/>
    <x v="9"/>
    <x v="9"/>
    <x v="2"/>
    <n v="5"/>
    <x v="8"/>
    <x v="0"/>
    <s v="South"/>
    <s v="Standard"/>
    <d v="2021-08-04T00:00:00"/>
    <n v="999.95"/>
    <d v="2026-09-17T00:00:00"/>
    <d v="2026-09-17T23:10:06"/>
    <x v="0"/>
  </r>
  <r>
    <x v="31"/>
    <x v="17"/>
    <x v="24"/>
    <s v="Lisa Anderson"/>
    <x v="2"/>
    <x v="2"/>
    <x v="2"/>
    <n v="2"/>
    <x v="2"/>
    <x v="1"/>
    <s v="West"/>
    <s v="Basic"/>
    <d v="2022-09-19T00:00:00"/>
    <n v="299.98"/>
    <d v="2026-09-17T00:00:00"/>
    <d v="2026-09-17T23:10:06"/>
    <x v="3"/>
  </r>
  <r>
    <x v="32"/>
    <x v="18"/>
    <x v="25"/>
    <s v="Emma Wilson"/>
    <x v="2"/>
    <x v="2"/>
    <x v="2"/>
    <n v="3"/>
    <x v="2"/>
    <x v="1"/>
    <s v="West"/>
    <s v="Premium"/>
    <d v="2023-05-22T00:00:00"/>
    <n v="449.97"/>
    <d v="2026-09-17T00:00:00"/>
    <d v="2026-09-17T23:10:06"/>
    <x v="3"/>
  </r>
  <r>
    <x v="33"/>
    <x v="19"/>
    <x v="2"/>
    <s v="Kevin Scott"/>
    <x v="4"/>
    <x v="4"/>
    <x v="0"/>
    <n v="1"/>
    <x v="3"/>
    <x v="1"/>
    <s v="West"/>
    <s v="Premium"/>
    <d v="2022-01-17T00:00:00"/>
    <n v="899.99"/>
    <d v="2026-09-17T00:00:00"/>
    <d v="2026-09-17T23:10:06"/>
    <x v="1"/>
  </r>
  <r>
    <x v="34"/>
    <x v="20"/>
    <x v="18"/>
    <s v="Patricia Moore"/>
    <x v="6"/>
    <x v="6"/>
    <x v="2"/>
    <n v="3"/>
    <x v="5"/>
    <x v="1"/>
    <s v="East"/>
    <s v="Basic"/>
    <d v="2022-09-20T00:00:00"/>
    <n v="899.97"/>
    <d v="2026-09-17T00:00:00"/>
    <d v="2026-09-17T23:10:06"/>
    <x v="3"/>
  </r>
  <r>
    <x v="35"/>
    <x v="21"/>
    <x v="24"/>
    <s v="Lisa Anderson"/>
    <x v="7"/>
    <x v="7"/>
    <x v="1"/>
    <n v="3"/>
    <x v="6"/>
    <x v="0"/>
    <s v="South"/>
    <s v="Basic"/>
    <d v="2023-04-30T00:00:00"/>
    <n v="239.97"/>
    <d v="2026-09-17T00:00:00"/>
    <d v="2026-09-17T23:10:06"/>
    <x v="3"/>
  </r>
  <r>
    <x v="36"/>
    <x v="22"/>
    <x v="26"/>
    <s v="Steven Turner"/>
    <x v="9"/>
    <x v="9"/>
    <x v="2"/>
    <n v="3"/>
    <x v="8"/>
    <x v="1"/>
    <s v="North"/>
    <s v="Premium"/>
    <d v="2024-01-01T00:00:00"/>
    <n v="599.97"/>
    <d v="2026-09-17T00:00:00"/>
    <d v="2026-09-17T23:10:06"/>
    <x v="2"/>
  </r>
  <r>
    <x v="37"/>
    <x v="23"/>
    <x v="27"/>
    <s v="Jennifer Taylor"/>
    <x v="5"/>
    <x v="5"/>
    <x v="0"/>
    <n v="5"/>
    <x v="4"/>
    <x v="2"/>
    <s v="West"/>
    <s v="Standard"/>
    <d v="2021-07-30T00:00:00"/>
    <n v="3499.95"/>
    <d v="2026-09-17T00:00:00"/>
    <d v="2026-09-17T23:10:06"/>
    <x v="0"/>
  </r>
  <r>
    <x v="38"/>
    <x v="24"/>
    <x v="28"/>
    <s v="Harry Morgan"/>
    <x v="8"/>
    <x v="8"/>
    <x v="0"/>
    <n v="3"/>
    <x v="7"/>
    <x v="2"/>
    <s v="Central"/>
    <s v="Premium"/>
    <d v="2023-07-13T00:00:00"/>
    <n v="269.97000000000003"/>
    <d v="2026-09-17T00:00:00"/>
    <d v="2026-09-17T23:10:06"/>
    <x v="3"/>
  </r>
  <r>
    <x v="39"/>
    <x v="25"/>
    <x v="29"/>
    <s v="Daniel King"/>
    <x v="7"/>
    <x v="7"/>
    <x v="1"/>
    <n v="1"/>
    <x v="6"/>
    <x v="0"/>
    <s v="North"/>
    <s v="Standard"/>
    <d v="2022-12-22T00:00:00"/>
    <n v="79.989999999999995"/>
    <d v="2026-09-17T00:00:00"/>
    <d v="2026-09-17T23:10:06"/>
    <x v="3"/>
  </r>
  <r>
    <x v="40"/>
    <x v="26"/>
    <x v="30"/>
    <s v="Sharon Butler"/>
    <x v="1"/>
    <x v="1"/>
    <x v="1"/>
    <n v="2"/>
    <x v="1"/>
    <x v="0"/>
    <s v="West"/>
    <s v="Basic"/>
    <d v="2024-04-08T00:00:00"/>
    <n v="119.98"/>
    <d v="2026-09-17T00:00:00"/>
    <d v="2026-09-17T23:10:06"/>
    <x v="2"/>
  </r>
  <r>
    <x v="41"/>
    <x v="26"/>
    <x v="6"/>
    <s v="Charles Allen"/>
    <x v="8"/>
    <x v="8"/>
    <x v="0"/>
    <n v="1"/>
    <x v="7"/>
    <x v="0"/>
    <s v="North"/>
    <s v="Basic"/>
    <d v="2023-08-03T00:00:00"/>
    <n v="89.99"/>
    <d v="2026-09-17T00:00:00"/>
    <d v="2026-09-17T23:10:06"/>
    <x v="3"/>
  </r>
  <r>
    <x v="42"/>
    <x v="27"/>
    <x v="31"/>
    <s v="Sarah Davis"/>
    <x v="8"/>
    <x v="8"/>
    <x v="0"/>
    <n v="5"/>
    <x v="7"/>
    <x v="1"/>
    <s v="East"/>
    <s v="Standard"/>
    <d v="2022-01-26T00:00:00"/>
    <n v="449.95"/>
    <d v="2026-09-17T00:00:00"/>
    <d v="2026-09-17T23:10:06"/>
    <x v="1"/>
  </r>
  <r>
    <x v="43"/>
    <x v="28"/>
    <x v="1"/>
    <s v="Joseph Jackson"/>
    <x v="0"/>
    <x v="0"/>
    <x v="0"/>
    <n v="5"/>
    <x v="0"/>
    <x v="1"/>
    <s v="East"/>
    <s v="Standard"/>
    <d v="2022-05-26T00:00:00"/>
    <n v="1249.95"/>
    <d v="2026-09-17T00:00:00"/>
    <d v="2026-09-17T23:10:06"/>
    <x v="1"/>
  </r>
  <r>
    <x v="44"/>
    <x v="28"/>
    <x v="32"/>
    <s v="Betty Campbell"/>
    <x v="8"/>
    <x v="8"/>
    <x v="0"/>
    <n v="1"/>
    <x v="7"/>
    <x v="1"/>
    <s v="South"/>
    <s v="Standard"/>
    <d v="2022-01-21T00:00:00"/>
    <n v="89.99"/>
    <d v="2026-09-17T00:00:00"/>
    <d v="2026-09-17T23:10:06"/>
    <x v="1"/>
  </r>
  <r>
    <x v="45"/>
    <x v="29"/>
    <x v="4"/>
    <s v="Michael Brown"/>
    <x v="2"/>
    <x v="2"/>
    <x v="2"/>
    <n v="2"/>
    <x v="2"/>
    <x v="0"/>
    <s v="East"/>
    <s v="Premium"/>
    <d v="2022-03-25T00:00:00"/>
    <n v="299.98"/>
    <d v="2026-09-17T00:00:00"/>
    <d v="2026-09-17T23:10:06"/>
    <x v="1"/>
  </r>
  <r>
    <x v="46"/>
    <x v="30"/>
    <x v="33"/>
    <s v="Julie Foster"/>
    <x v="1"/>
    <x v="1"/>
    <x v="1"/>
    <n v="4"/>
    <x v="1"/>
    <x v="0"/>
    <s v="East"/>
    <s v="Standard"/>
    <d v="2021-08-27T00:00:00"/>
    <n v="239.96"/>
    <d v="2026-09-17T00:00:00"/>
    <d v="2026-09-17T23:10:06"/>
    <x v="0"/>
  </r>
  <r>
    <x v="47"/>
    <x v="31"/>
    <x v="24"/>
    <s v="Lisa Anderson"/>
    <x v="8"/>
    <x v="8"/>
    <x v="0"/>
    <n v="5"/>
    <x v="7"/>
    <x v="0"/>
    <s v="Central"/>
    <s v="Premium"/>
    <d v="2022-01-18T00:00:00"/>
    <n v="449.95"/>
    <d v="2026-09-17T00:00:00"/>
    <d v="2026-09-17T23:10:06"/>
    <x v="1"/>
  </r>
  <r>
    <x v="48"/>
    <x v="32"/>
    <x v="18"/>
    <s v="Patricia Moore"/>
    <x v="8"/>
    <x v="8"/>
    <x v="0"/>
    <n v="2"/>
    <x v="7"/>
    <x v="1"/>
    <s v="South"/>
    <s v="Premium"/>
    <d v="2021-10-02T00:00:00"/>
    <n v="179.98"/>
    <d v="2026-09-17T00:00:00"/>
    <d v="2026-09-17T23:10:06"/>
    <x v="1"/>
  </r>
  <r>
    <x v="49"/>
    <x v="32"/>
    <x v="0"/>
    <s v="Paul Baker"/>
    <x v="4"/>
    <x v="4"/>
    <x v="0"/>
    <n v="5"/>
    <x v="3"/>
    <x v="1"/>
    <s v="South"/>
    <s v="Standard"/>
    <d v="2023-02-17T00:00:00"/>
    <n v="4499.95"/>
    <d v="2026-09-17T00:00:00"/>
    <d v="2026-09-17T23:10:06"/>
    <x v="3"/>
  </r>
  <r>
    <x v="50"/>
    <x v="32"/>
    <x v="23"/>
    <s v="Edward Mitchell"/>
    <x v="4"/>
    <x v="4"/>
    <x v="0"/>
    <n v="5"/>
    <x v="3"/>
    <x v="2"/>
    <s v="East"/>
    <s v="Premium"/>
    <d v="2023-12-18T00:00:00"/>
    <n v="4499.95"/>
    <d v="2026-09-17T00:00:00"/>
    <d v="2026-09-17T23:10:06"/>
    <x v="2"/>
  </r>
  <r>
    <x v="51"/>
    <x v="33"/>
    <x v="32"/>
    <s v="Betty Campbell"/>
    <x v="1"/>
    <x v="1"/>
    <x v="1"/>
    <n v="1"/>
    <x v="1"/>
    <x v="3"/>
    <s v="West"/>
    <s v="Premium"/>
    <d v="2023-09-21T00:00:00"/>
    <n v="59.99"/>
    <d v="2026-09-17T00:00:00"/>
    <d v="2026-09-17T23:10:06"/>
    <x v="2"/>
  </r>
  <r>
    <x v="52"/>
    <x v="33"/>
    <x v="27"/>
    <s v="Jennifer Taylor"/>
    <x v="6"/>
    <x v="6"/>
    <x v="2"/>
    <n v="2"/>
    <x v="5"/>
    <x v="3"/>
    <s v="East"/>
    <s v="Standard"/>
    <d v="2023-11-23T00:00:00"/>
    <n v="599.98"/>
    <d v="2026-09-17T00:00:00"/>
    <d v="2026-09-17T23:10:06"/>
    <x v="2"/>
  </r>
  <r>
    <x v="53"/>
    <x v="34"/>
    <x v="34"/>
    <s v="Raymond Ross"/>
    <x v="8"/>
    <x v="8"/>
    <x v="0"/>
    <n v="4"/>
    <x v="7"/>
    <x v="3"/>
    <s v="South"/>
    <s v="Basic"/>
    <d v="2023-12-21T00:00:00"/>
    <n v="359.96"/>
    <d v="2026-09-17T00:00:00"/>
    <d v="2026-09-17T23:10:06"/>
    <x v="2"/>
  </r>
  <r>
    <x v="54"/>
    <x v="35"/>
    <x v="2"/>
    <s v="Kevin Scott"/>
    <x v="7"/>
    <x v="7"/>
    <x v="1"/>
    <n v="1"/>
    <x v="6"/>
    <x v="2"/>
    <s v="Central"/>
    <s v="Premium"/>
    <d v="2024-03-01T00:00:00"/>
    <n v="79.989999999999995"/>
    <d v="2026-09-17T00:00:00"/>
    <d v="2026-09-17T23:10:06"/>
    <x v="2"/>
  </r>
  <r>
    <x v="55"/>
    <x v="35"/>
    <x v="7"/>
    <s v="Robert Thomas"/>
    <x v="8"/>
    <x v="8"/>
    <x v="0"/>
    <n v="2"/>
    <x v="7"/>
    <x v="0"/>
    <s v="West"/>
    <s v="Basic"/>
    <d v="2021-08-30T00:00:00"/>
    <n v="179.98"/>
    <d v="2026-09-17T00:00:00"/>
    <d v="2026-09-17T23:10:06"/>
    <x v="0"/>
  </r>
  <r>
    <x v="56"/>
    <x v="36"/>
    <x v="3"/>
    <s v="Kathleen Bennett"/>
    <x v="5"/>
    <x v="5"/>
    <x v="0"/>
    <n v="3"/>
    <x v="4"/>
    <x v="1"/>
    <s v="East"/>
    <s v="Premium"/>
    <d v="2023-06-25T00:00:00"/>
    <n v="2099.9699999999998"/>
    <d v="2026-09-17T00:00:00"/>
    <d v="2026-09-17T23:10:06"/>
    <x v="3"/>
  </r>
  <r>
    <x v="57"/>
    <x v="36"/>
    <x v="18"/>
    <s v="Patricia Moore"/>
    <x v="4"/>
    <x v="4"/>
    <x v="0"/>
    <n v="4"/>
    <x v="3"/>
    <x v="1"/>
    <s v="East"/>
    <s v="Premium"/>
    <d v="2023-03-08T00:00:00"/>
    <n v="3599.96"/>
    <d v="2026-09-17T00:00:00"/>
    <d v="2026-09-17T23:10:06"/>
    <x v="3"/>
  </r>
  <r>
    <x v="58"/>
    <x v="37"/>
    <x v="22"/>
    <s v="Helen Roberts"/>
    <x v="2"/>
    <x v="2"/>
    <x v="2"/>
    <n v="1"/>
    <x v="2"/>
    <x v="2"/>
    <s v="East"/>
    <s v="Basic"/>
    <d v="2022-10-17T00:00:00"/>
    <n v="149.99"/>
    <d v="2026-09-17T00:00:00"/>
    <d v="2026-09-17T23:10:06"/>
    <x v="3"/>
  </r>
  <r>
    <x v="59"/>
    <x v="38"/>
    <x v="25"/>
    <s v="Emma Wilson"/>
    <x v="8"/>
    <x v="8"/>
    <x v="0"/>
    <n v="2"/>
    <x v="7"/>
    <x v="2"/>
    <s v="Central"/>
    <s v="Premium"/>
    <d v="2023-12-15T00:00:00"/>
    <n v="179.98"/>
    <d v="2026-09-17T00:00:00"/>
    <d v="2026-09-17T23:10:06"/>
    <x v="2"/>
  </r>
  <r>
    <x v="60"/>
    <x v="39"/>
    <x v="6"/>
    <s v="Charles Allen"/>
    <x v="8"/>
    <x v="8"/>
    <x v="0"/>
    <n v="1"/>
    <x v="7"/>
    <x v="2"/>
    <s v="West"/>
    <s v="Standard"/>
    <d v="2022-08-29T00:00:00"/>
    <n v="89.99"/>
    <d v="2026-09-17T00:00:00"/>
    <d v="2026-09-17T23:10:06"/>
    <x v="1"/>
  </r>
  <r>
    <x v="61"/>
    <x v="40"/>
    <x v="9"/>
    <s v="Susan Green"/>
    <x v="8"/>
    <x v="8"/>
    <x v="0"/>
    <n v="1"/>
    <x v="7"/>
    <x v="0"/>
    <s v="South"/>
    <s v="Standard"/>
    <d v="2022-02-19T00:00:00"/>
    <n v="89.99"/>
    <d v="2026-09-17T00:00:00"/>
    <d v="2026-09-17T23:10:06"/>
    <x v="1"/>
  </r>
  <r>
    <x v="62"/>
    <x v="40"/>
    <x v="35"/>
    <s v="David Martinez"/>
    <x v="7"/>
    <x v="7"/>
    <x v="1"/>
    <n v="5"/>
    <x v="6"/>
    <x v="3"/>
    <s v="Central"/>
    <s v="Basic"/>
    <d v="2023-02-24T00:00:00"/>
    <n v="399.95"/>
    <d v="2026-09-17T00:00:00"/>
    <d v="2026-09-17T23:10:06"/>
    <x v="3"/>
  </r>
  <r>
    <x v="63"/>
    <x v="41"/>
    <x v="36"/>
    <s v="Margaret Wright"/>
    <x v="2"/>
    <x v="2"/>
    <x v="2"/>
    <n v="1"/>
    <x v="2"/>
    <x v="2"/>
    <s v="North"/>
    <s v="Basic"/>
    <d v="2021-08-13T00:00:00"/>
    <n v="149.99"/>
    <d v="2026-09-17T00:00:00"/>
    <d v="2026-09-17T23:10:06"/>
    <x v="0"/>
  </r>
  <r>
    <x v="64"/>
    <x v="41"/>
    <x v="4"/>
    <s v="Michael Brown"/>
    <x v="5"/>
    <x v="5"/>
    <x v="0"/>
    <n v="2"/>
    <x v="4"/>
    <x v="2"/>
    <s v="East"/>
    <s v="Premium"/>
    <d v="2024-04-07T00:00:00"/>
    <n v="1399.98"/>
    <d v="2026-09-17T00:00:00"/>
    <d v="2026-09-17T23:10:06"/>
    <x v="2"/>
  </r>
  <r>
    <x v="65"/>
    <x v="41"/>
    <x v="17"/>
    <s v="Barbara Young"/>
    <x v="8"/>
    <x v="8"/>
    <x v="0"/>
    <n v="5"/>
    <x v="7"/>
    <x v="3"/>
    <s v="North"/>
    <s v="Premium"/>
    <d v="2023-08-23T00:00:00"/>
    <n v="449.95"/>
    <d v="2026-09-17T00:00:00"/>
    <d v="2026-09-17T23:10:06"/>
    <x v="3"/>
  </r>
  <r>
    <x v="66"/>
    <x v="42"/>
    <x v="34"/>
    <s v="Raymond Ross"/>
    <x v="1"/>
    <x v="1"/>
    <x v="1"/>
    <n v="4"/>
    <x v="1"/>
    <x v="0"/>
    <s v="South"/>
    <s v="Standard"/>
    <d v="2021-11-09T00:00:00"/>
    <n v="239.96"/>
    <d v="2026-09-17T00:00:00"/>
    <d v="2026-09-17T23:10:06"/>
    <x v="1"/>
  </r>
  <r>
    <x v="67"/>
    <x v="43"/>
    <x v="1"/>
    <s v="Joseph Jackson"/>
    <x v="3"/>
    <x v="3"/>
    <x v="0"/>
    <n v="1"/>
    <x v="2"/>
    <x v="0"/>
    <s v="Central"/>
    <s v="Standard"/>
    <d v="2022-12-14T00:00:00"/>
    <n v="149.99"/>
    <d v="2026-09-17T00:00:00"/>
    <d v="2026-09-17T23:10:06"/>
    <x v="3"/>
  </r>
  <r>
    <x v="68"/>
    <x v="43"/>
    <x v="37"/>
    <s v="Frank Torres"/>
    <x v="6"/>
    <x v="6"/>
    <x v="2"/>
    <n v="1"/>
    <x v="5"/>
    <x v="1"/>
    <s v="North"/>
    <s v="Premium"/>
    <d v="2022-11-26T00:00:00"/>
    <n v="299.99"/>
    <d v="2026-09-17T00:00:00"/>
    <d v="2026-09-17T23:10:06"/>
    <x v="3"/>
  </r>
  <r>
    <x v="69"/>
    <x v="44"/>
    <x v="37"/>
    <s v="Frank Torres"/>
    <x v="9"/>
    <x v="9"/>
    <x v="2"/>
    <n v="2"/>
    <x v="8"/>
    <x v="0"/>
    <s v="North"/>
    <s v="Basic"/>
    <d v="2021-12-11T00:00:00"/>
    <n v="399.98"/>
    <d v="2026-09-17T00:00:00"/>
    <d v="2026-09-17T23:10:06"/>
    <x v="1"/>
  </r>
  <r>
    <x v="70"/>
    <x v="45"/>
    <x v="38"/>
    <s v="Gerald Murphy"/>
    <x v="1"/>
    <x v="1"/>
    <x v="1"/>
    <n v="3"/>
    <x v="1"/>
    <x v="1"/>
    <s v="West"/>
    <s v="Basic"/>
    <d v="2023-07-23T00:00:00"/>
    <n v="179.97"/>
    <d v="2026-09-17T00:00:00"/>
    <d v="2026-09-17T23:10:06"/>
    <x v="3"/>
  </r>
  <r>
    <x v="71"/>
    <x v="45"/>
    <x v="10"/>
    <s v="Peter Richardson"/>
    <x v="2"/>
    <x v="2"/>
    <x v="2"/>
    <n v="3"/>
    <x v="2"/>
    <x v="0"/>
    <s v="Central"/>
    <s v="Premium"/>
    <d v="2023-09-30T00:00:00"/>
    <n v="449.97"/>
    <d v="2026-09-17T00:00:00"/>
    <d v="2026-09-17T23:10:06"/>
    <x v="2"/>
  </r>
  <r>
    <x v="72"/>
    <x v="46"/>
    <x v="8"/>
    <s v="Karen Hill"/>
    <x v="9"/>
    <x v="9"/>
    <x v="2"/>
    <n v="3"/>
    <x v="8"/>
    <x v="0"/>
    <s v="North"/>
    <s v="Premium"/>
    <d v="2023-11-24T00:00:00"/>
    <n v="599.97"/>
    <d v="2026-09-17T00:00:00"/>
    <d v="2026-09-17T23:10:06"/>
    <x v="2"/>
  </r>
  <r>
    <x v="73"/>
    <x v="47"/>
    <x v="30"/>
    <s v="Sharon Butler"/>
    <x v="4"/>
    <x v="4"/>
    <x v="0"/>
    <n v="1"/>
    <x v="3"/>
    <x v="0"/>
    <s v="Central"/>
    <s v="Standard"/>
    <d v="2023-09-10T00:00:00"/>
    <n v="899.99"/>
    <d v="2026-09-17T00:00:00"/>
    <d v="2026-09-17T23:10:06"/>
    <x v="3"/>
  </r>
  <r>
    <x v="74"/>
    <x v="48"/>
    <x v="1"/>
    <s v="Joseph Jackson"/>
    <x v="4"/>
    <x v="4"/>
    <x v="0"/>
    <n v="5"/>
    <x v="3"/>
    <x v="3"/>
    <s v="South"/>
    <s v="Standard"/>
    <d v="2022-12-04T00:00:00"/>
    <n v="4499.95"/>
    <d v="2026-09-17T00:00:00"/>
    <d v="2026-09-17T23:10:06"/>
    <x v="3"/>
  </r>
  <r>
    <x v="75"/>
    <x v="49"/>
    <x v="35"/>
    <s v="David Martinez"/>
    <x v="1"/>
    <x v="1"/>
    <x v="1"/>
    <n v="2"/>
    <x v="1"/>
    <x v="0"/>
    <s v="North"/>
    <s v="Standard"/>
    <d v="2023-08-14T00:00:00"/>
    <n v="119.98"/>
    <d v="2026-09-17T00:00:00"/>
    <d v="2026-09-17T23:10:06"/>
    <x v="3"/>
  </r>
  <r>
    <x v="76"/>
    <x v="49"/>
    <x v="38"/>
    <s v="Gerald Murphy"/>
    <x v="0"/>
    <x v="0"/>
    <x v="0"/>
    <n v="4"/>
    <x v="0"/>
    <x v="3"/>
    <s v="Central"/>
    <s v="Standard"/>
    <d v="2023-07-20T00:00:00"/>
    <n v="999.96"/>
    <d v="2026-09-17T00:00:00"/>
    <d v="2026-09-17T23:10:06"/>
    <x v="3"/>
  </r>
  <r>
    <x v="77"/>
    <x v="50"/>
    <x v="17"/>
    <s v="Barbara Young"/>
    <x v="0"/>
    <x v="0"/>
    <x v="0"/>
    <n v="2"/>
    <x v="0"/>
    <x v="0"/>
    <s v="North"/>
    <s v="Premium"/>
    <d v="2023-08-26T00:00:00"/>
    <n v="499.98"/>
    <d v="2026-09-17T00:00:00"/>
    <d v="2026-09-17T23:10:06"/>
    <x v="3"/>
  </r>
  <r>
    <x v="78"/>
    <x v="50"/>
    <x v="29"/>
    <s v="Daniel King"/>
    <x v="6"/>
    <x v="6"/>
    <x v="2"/>
    <n v="1"/>
    <x v="5"/>
    <x v="0"/>
    <s v="South"/>
    <s v="Basic"/>
    <d v="2023-02-25T00:00:00"/>
    <n v="299.99"/>
    <d v="2026-09-17T00:00:00"/>
    <d v="2026-09-17T23:10:06"/>
    <x v="3"/>
  </r>
  <r>
    <x v="79"/>
    <x v="51"/>
    <x v="14"/>
    <s v="Mark Carter"/>
    <x v="8"/>
    <x v="8"/>
    <x v="0"/>
    <n v="2"/>
    <x v="7"/>
    <x v="2"/>
    <s v="South"/>
    <s v="Basic"/>
    <d v="2023-02-19T00:00:00"/>
    <n v="179.98"/>
    <d v="2026-09-17T00:00:00"/>
    <d v="2026-09-17T23:10:06"/>
    <x v="3"/>
  </r>
  <r>
    <x v="80"/>
    <x v="51"/>
    <x v="29"/>
    <s v="Daniel King"/>
    <x v="6"/>
    <x v="6"/>
    <x v="2"/>
    <n v="3"/>
    <x v="5"/>
    <x v="0"/>
    <s v="Central"/>
    <s v="Basic"/>
    <d v="2022-06-20T00:00:00"/>
    <n v="899.97"/>
    <d v="2026-09-17T00:00:00"/>
    <d v="2026-09-17T23:10:06"/>
    <x v="1"/>
  </r>
  <r>
    <x v="81"/>
    <x v="52"/>
    <x v="14"/>
    <s v="Mark Carter"/>
    <x v="5"/>
    <x v="5"/>
    <x v="0"/>
    <n v="2"/>
    <x v="4"/>
    <x v="1"/>
    <s v="North"/>
    <s v="Premium"/>
    <d v="2023-03-14T00:00:00"/>
    <n v="1399.98"/>
    <d v="2026-09-17T00:00:00"/>
    <d v="2026-09-17T23:10:06"/>
    <x v="3"/>
  </r>
  <r>
    <x v="82"/>
    <x v="53"/>
    <x v="22"/>
    <s v="Helen Roberts"/>
    <x v="4"/>
    <x v="4"/>
    <x v="0"/>
    <n v="4"/>
    <x v="3"/>
    <x v="3"/>
    <s v="South"/>
    <s v="Standard"/>
    <d v="2021-11-23T00:00:00"/>
    <n v="3599.96"/>
    <d v="2026-09-17T00:00:00"/>
    <d v="2026-09-17T23:10:06"/>
    <x v="1"/>
  </r>
  <r>
    <x v="83"/>
    <x v="54"/>
    <x v="39"/>
    <s v="Elizabeth Hall"/>
    <x v="2"/>
    <x v="2"/>
    <x v="2"/>
    <n v="2"/>
    <x v="2"/>
    <x v="1"/>
    <s v="West"/>
    <s v="Basic"/>
    <d v="2021-12-12T00:00:00"/>
    <n v="299.98"/>
    <d v="2026-09-17T00:00:00"/>
    <d v="2026-09-17T23:10:06"/>
    <x v="1"/>
  </r>
  <r>
    <x v="84"/>
    <x v="55"/>
    <x v="19"/>
    <s v="Cynthia Price"/>
    <x v="2"/>
    <x v="2"/>
    <x v="2"/>
    <n v="2"/>
    <x v="2"/>
    <x v="3"/>
    <s v="East"/>
    <s v="Standard"/>
    <d v="2022-04-16T00:00:00"/>
    <n v="299.98"/>
    <d v="2026-09-17T00:00:00"/>
    <d v="2026-09-17T23:10:06"/>
    <x v="1"/>
  </r>
  <r>
    <x v="85"/>
    <x v="56"/>
    <x v="15"/>
    <s v="Maria Garcia"/>
    <x v="8"/>
    <x v="8"/>
    <x v="0"/>
    <n v="1"/>
    <x v="7"/>
    <x v="1"/>
    <s v="North"/>
    <s v="Standard"/>
    <d v="2024-04-11T00:00:00"/>
    <n v="89.99"/>
    <d v="2026-09-17T00:00:00"/>
    <d v="2026-09-17T23:10:06"/>
    <x v="2"/>
  </r>
  <r>
    <x v="86"/>
    <x v="57"/>
    <x v="14"/>
    <s v="Mark Carter"/>
    <x v="6"/>
    <x v="6"/>
    <x v="2"/>
    <n v="5"/>
    <x v="5"/>
    <x v="1"/>
    <s v="North"/>
    <s v="Basic"/>
    <d v="2023-02-08T00:00:00"/>
    <n v="1499.95"/>
    <d v="2026-09-17T00:00:00"/>
    <d v="2026-09-17T23:10:06"/>
    <x v="3"/>
  </r>
  <r>
    <x v="87"/>
    <x v="58"/>
    <x v="35"/>
    <s v="David Martinez"/>
    <x v="3"/>
    <x v="3"/>
    <x v="0"/>
    <n v="4"/>
    <x v="2"/>
    <x v="3"/>
    <s v="South"/>
    <s v="Premium"/>
    <d v="2022-09-16T00:00:00"/>
    <n v="599.96"/>
    <d v="2026-09-17T00:00:00"/>
    <d v="2026-09-17T23:10:06"/>
    <x v="1"/>
  </r>
  <r>
    <x v="88"/>
    <x v="58"/>
    <x v="36"/>
    <s v="Margaret Wright"/>
    <x v="0"/>
    <x v="0"/>
    <x v="0"/>
    <n v="5"/>
    <x v="0"/>
    <x v="2"/>
    <s v="East"/>
    <s v="Premium"/>
    <d v="2022-08-09T00:00:00"/>
    <n v="1249.95"/>
    <d v="2026-09-17T00:00:00"/>
    <d v="2026-09-17T23:10:06"/>
    <x v="1"/>
  </r>
  <r>
    <x v="89"/>
    <x v="58"/>
    <x v="8"/>
    <s v="Karen Hill"/>
    <x v="0"/>
    <x v="0"/>
    <x v="0"/>
    <n v="3"/>
    <x v="0"/>
    <x v="2"/>
    <s v="North"/>
    <s v="Premium"/>
    <d v="2021-09-26T00:00:00"/>
    <n v="749.97"/>
    <d v="2026-09-17T00:00:00"/>
    <d v="2026-09-17T23:10:06"/>
    <x v="1"/>
  </r>
  <r>
    <x v="90"/>
    <x v="58"/>
    <x v="3"/>
    <s v="Kathleen Bennett"/>
    <x v="9"/>
    <x v="9"/>
    <x v="2"/>
    <n v="4"/>
    <x v="8"/>
    <x v="0"/>
    <s v="North"/>
    <s v="Standard"/>
    <d v="2021-09-19T00:00:00"/>
    <n v="799.96"/>
    <d v="2026-09-17T00:00:00"/>
    <d v="2026-09-17T23:10:06"/>
    <x v="1"/>
  </r>
  <r>
    <x v="91"/>
    <x v="59"/>
    <x v="32"/>
    <s v="Betty Campbell"/>
    <x v="9"/>
    <x v="9"/>
    <x v="2"/>
    <n v="5"/>
    <x v="8"/>
    <x v="0"/>
    <s v="North"/>
    <s v="Premium"/>
    <d v="2023-03-06T00:00:00"/>
    <n v="999.95"/>
    <d v="2026-09-17T00:00:00"/>
    <d v="2026-09-17T23:10:06"/>
    <x v="3"/>
  </r>
  <r>
    <x v="92"/>
    <x v="60"/>
    <x v="14"/>
    <s v="Mark Carter"/>
    <x v="8"/>
    <x v="8"/>
    <x v="0"/>
    <n v="2"/>
    <x v="7"/>
    <x v="0"/>
    <s v="East"/>
    <s v="Premium"/>
    <d v="2023-02-15T00:00:00"/>
    <n v="179.98"/>
    <d v="2026-09-17T00:00:00"/>
    <d v="2026-09-17T23:10:06"/>
    <x v="3"/>
  </r>
  <r>
    <x v="93"/>
    <x v="61"/>
    <x v="38"/>
    <s v="Gerald Murphy"/>
    <x v="4"/>
    <x v="4"/>
    <x v="0"/>
    <n v="5"/>
    <x v="3"/>
    <x v="3"/>
    <s v="East"/>
    <s v="Basic"/>
    <d v="2021-11-26T00:00:00"/>
    <n v="4499.95"/>
    <d v="2026-09-17T00:00:00"/>
    <d v="2026-09-17T23:10:06"/>
    <x v="1"/>
  </r>
  <r>
    <x v="94"/>
    <x v="61"/>
    <x v="20"/>
    <s v="Nancy Collins"/>
    <x v="3"/>
    <x v="3"/>
    <x v="0"/>
    <n v="3"/>
    <x v="2"/>
    <x v="2"/>
    <s v="East"/>
    <s v="Basic"/>
    <d v="2022-01-13T00:00:00"/>
    <n v="449.97"/>
    <d v="2026-09-17T00:00:00"/>
    <d v="2026-09-17T23:10:06"/>
    <x v="1"/>
  </r>
  <r>
    <x v="95"/>
    <x v="62"/>
    <x v="19"/>
    <s v="Cynthia Price"/>
    <x v="2"/>
    <x v="2"/>
    <x v="2"/>
    <n v="5"/>
    <x v="2"/>
    <x v="1"/>
    <s v="Central"/>
    <s v="Basic"/>
    <d v="2024-01-19T00:00:00"/>
    <n v="749.95"/>
    <d v="2026-09-17T00:00:00"/>
    <d v="2026-09-17T23:10:06"/>
    <x v="2"/>
  </r>
  <r>
    <x v="96"/>
    <x v="63"/>
    <x v="40"/>
    <s v="Lawrence Reed"/>
    <x v="7"/>
    <x v="7"/>
    <x v="1"/>
    <n v="3"/>
    <x v="6"/>
    <x v="0"/>
    <s v="Central"/>
    <s v="Premium"/>
    <d v="2022-08-06T00:00:00"/>
    <n v="239.97"/>
    <d v="2026-09-17T00:00:00"/>
    <d v="2026-09-17T23:10:06"/>
    <x v="1"/>
  </r>
  <r>
    <x v="97"/>
    <x v="63"/>
    <x v="28"/>
    <s v="Harry Morgan"/>
    <x v="0"/>
    <x v="0"/>
    <x v="0"/>
    <n v="2"/>
    <x v="0"/>
    <x v="0"/>
    <s v="South"/>
    <s v="Standard"/>
    <d v="2022-01-11T00:00:00"/>
    <n v="499.98"/>
    <d v="2026-09-17T00:00:00"/>
    <d v="2026-09-17T23:10:06"/>
    <x v="1"/>
  </r>
  <r>
    <x v="98"/>
    <x v="64"/>
    <x v="38"/>
    <s v="Gerald Murphy"/>
    <x v="5"/>
    <x v="5"/>
    <x v="0"/>
    <n v="1"/>
    <x v="4"/>
    <x v="0"/>
    <s v="Central"/>
    <s v="Premium"/>
    <d v="2021-10-28T00:00:00"/>
    <n v="699.99"/>
    <d v="2026-09-17T00:00:00"/>
    <d v="2026-09-17T23:10:06"/>
    <x v="1"/>
  </r>
  <r>
    <x v="99"/>
    <x v="64"/>
    <x v="41"/>
    <s v="Carol Evans"/>
    <x v="3"/>
    <x v="3"/>
    <x v="0"/>
    <n v="3"/>
    <x v="2"/>
    <x v="0"/>
    <s v="West"/>
    <s v="Premium"/>
    <d v="2023-10-13T00:00:00"/>
    <n v="449.97"/>
    <d v="2026-09-17T00:00:00"/>
    <d v="2026-09-17T23:10:06"/>
    <x v="2"/>
  </r>
  <r>
    <x v="100"/>
    <x v="65"/>
    <x v="42"/>
    <s v="Sandra Phillips"/>
    <x v="5"/>
    <x v="5"/>
    <x v="0"/>
    <n v="2"/>
    <x v="4"/>
    <x v="1"/>
    <s v="North"/>
    <s v="Premium"/>
    <d v="2021-08-13T00:00:00"/>
    <n v="1399.98"/>
    <d v="2026-09-17T00:00:00"/>
    <d v="2026-09-17T23:10:06"/>
    <x v="0"/>
  </r>
  <r>
    <x v="101"/>
    <x v="66"/>
    <x v="41"/>
    <s v="Carol Evans"/>
    <x v="0"/>
    <x v="0"/>
    <x v="0"/>
    <n v="1"/>
    <x v="0"/>
    <x v="1"/>
    <s v="West"/>
    <s v="Premium"/>
    <d v="2022-05-04T00:00:00"/>
    <n v="249.99"/>
    <d v="2026-09-17T00:00:00"/>
    <d v="2026-09-17T23:10:06"/>
    <x v="1"/>
  </r>
  <r>
    <x v="102"/>
    <x v="66"/>
    <x v="0"/>
    <s v="Paul Baker"/>
    <x v="0"/>
    <x v="0"/>
    <x v="0"/>
    <n v="1"/>
    <x v="0"/>
    <x v="3"/>
    <s v="North"/>
    <s v="Premium"/>
    <d v="2024-02-10T00:00:00"/>
    <n v="249.99"/>
    <d v="2026-09-17T00:00:00"/>
    <d v="2026-09-17T23:10:06"/>
    <x v="2"/>
  </r>
  <r>
    <x v="103"/>
    <x v="67"/>
    <x v="40"/>
    <s v="Lawrence Reed"/>
    <x v="5"/>
    <x v="5"/>
    <x v="0"/>
    <n v="2"/>
    <x v="4"/>
    <x v="3"/>
    <s v="Central"/>
    <s v="Premium"/>
    <d v="2022-11-05T00:00:00"/>
    <n v="1399.98"/>
    <d v="2026-09-17T00:00:00"/>
    <d v="2026-09-17T23:10:06"/>
    <x v="3"/>
  </r>
  <r>
    <x v="104"/>
    <x v="68"/>
    <x v="26"/>
    <s v="Steven Turner"/>
    <x v="1"/>
    <x v="1"/>
    <x v="1"/>
    <n v="3"/>
    <x v="1"/>
    <x v="1"/>
    <s v="Central"/>
    <s v="Premium"/>
    <d v="2022-06-05T00:00:00"/>
    <n v="179.97"/>
    <d v="2026-09-17T00:00:00"/>
    <d v="2026-09-17T23:10:06"/>
    <x v="1"/>
  </r>
  <r>
    <x v="105"/>
    <x v="69"/>
    <x v="25"/>
    <s v="Emma Wilson"/>
    <x v="1"/>
    <x v="1"/>
    <x v="1"/>
    <n v="3"/>
    <x v="1"/>
    <x v="2"/>
    <s v="East"/>
    <s v="Standard"/>
    <d v="2022-07-06T00:00:00"/>
    <n v="179.97"/>
    <d v="2026-09-17T00:00:00"/>
    <d v="2026-09-17T23:10:06"/>
    <x v="1"/>
  </r>
  <r>
    <x v="106"/>
    <x v="69"/>
    <x v="27"/>
    <s v="Jennifer Taylor"/>
    <x v="7"/>
    <x v="7"/>
    <x v="1"/>
    <n v="4"/>
    <x v="6"/>
    <x v="0"/>
    <s v="North"/>
    <s v="Basic"/>
    <d v="2021-11-30T00:00:00"/>
    <n v="319.95999999999998"/>
    <d v="2026-09-17T00:00:00"/>
    <d v="2026-09-17T23:10:06"/>
    <x v="1"/>
  </r>
  <r>
    <x v="107"/>
    <x v="70"/>
    <x v="6"/>
    <s v="Charles Allen"/>
    <x v="7"/>
    <x v="7"/>
    <x v="1"/>
    <n v="1"/>
    <x v="6"/>
    <x v="0"/>
    <s v="West"/>
    <s v="Basic"/>
    <d v="2022-05-12T00:00:00"/>
    <n v="79.989999999999995"/>
    <d v="2026-09-17T00:00:00"/>
    <d v="2026-09-17T23:10:06"/>
    <x v="1"/>
  </r>
  <r>
    <x v="108"/>
    <x v="71"/>
    <x v="5"/>
    <s v="Dorothy Nelson"/>
    <x v="6"/>
    <x v="6"/>
    <x v="2"/>
    <n v="3"/>
    <x v="5"/>
    <x v="1"/>
    <s v="Central"/>
    <s v="Premium"/>
    <d v="2021-10-25T00:00:00"/>
    <n v="899.97"/>
    <d v="2026-09-17T00:00:00"/>
    <d v="2026-09-17T23:10:06"/>
    <x v="1"/>
  </r>
  <r>
    <x v="109"/>
    <x v="72"/>
    <x v="3"/>
    <s v="Kathleen Bennett"/>
    <x v="8"/>
    <x v="8"/>
    <x v="0"/>
    <n v="2"/>
    <x v="7"/>
    <x v="1"/>
    <s v="South"/>
    <s v="Premium"/>
    <d v="2022-03-21T00:00:00"/>
    <n v="179.98"/>
    <d v="2026-09-17T00:00:00"/>
    <d v="2026-09-17T23:10:06"/>
    <x v="1"/>
  </r>
  <r>
    <x v="110"/>
    <x v="73"/>
    <x v="43"/>
    <s v="Ruth Brooks"/>
    <x v="3"/>
    <x v="3"/>
    <x v="0"/>
    <n v="4"/>
    <x v="2"/>
    <x v="0"/>
    <s v="North"/>
    <s v="Basic"/>
    <d v="2022-12-14T00:00:00"/>
    <n v="599.96"/>
    <d v="2026-09-17T00:00:00"/>
    <d v="2026-09-17T23:10:06"/>
    <x v="3"/>
  </r>
  <r>
    <x v="111"/>
    <x v="74"/>
    <x v="8"/>
    <s v="Karen Hill"/>
    <x v="0"/>
    <x v="0"/>
    <x v="0"/>
    <n v="2"/>
    <x v="0"/>
    <x v="2"/>
    <s v="South"/>
    <s v="Basic"/>
    <d v="2023-03-08T00:00:00"/>
    <n v="499.98"/>
    <d v="2026-09-17T00:00:00"/>
    <d v="2026-09-17T23:10:06"/>
    <x v="3"/>
  </r>
  <r>
    <x v="112"/>
    <x v="74"/>
    <x v="31"/>
    <s v="Sarah Davis"/>
    <x v="9"/>
    <x v="9"/>
    <x v="2"/>
    <n v="4"/>
    <x v="8"/>
    <x v="3"/>
    <s v="East"/>
    <s v="Basic"/>
    <d v="2021-09-19T00:00:00"/>
    <n v="799.96"/>
    <d v="2026-09-17T00:00:00"/>
    <d v="2026-09-17T23:10:06"/>
    <x v="1"/>
  </r>
  <r>
    <x v="113"/>
    <x v="75"/>
    <x v="29"/>
    <s v="Daniel King"/>
    <x v="8"/>
    <x v="8"/>
    <x v="0"/>
    <n v="5"/>
    <x v="7"/>
    <x v="1"/>
    <s v="East"/>
    <s v="Premium"/>
    <d v="2021-09-07T00:00:00"/>
    <n v="449.95"/>
    <d v="2026-09-17T00:00:00"/>
    <d v="2026-09-17T23:10:06"/>
    <x v="0"/>
  </r>
  <r>
    <x v="114"/>
    <x v="75"/>
    <x v="44"/>
    <s v="William White"/>
    <x v="3"/>
    <x v="3"/>
    <x v="0"/>
    <n v="1"/>
    <x v="2"/>
    <x v="2"/>
    <s v="East"/>
    <s v="Standard"/>
    <d v="2021-10-13T00:00:00"/>
    <n v="149.99"/>
    <d v="2026-09-17T00:00:00"/>
    <d v="2026-09-17T23:10:06"/>
    <x v="1"/>
  </r>
  <r>
    <x v="115"/>
    <x v="75"/>
    <x v="10"/>
    <s v="Peter Richardson"/>
    <x v="5"/>
    <x v="5"/>
    <x v="0"/>
    <n v="4"/>
    <x v="4"/>
    <x v="2"/>
    <s v="South"/>
    <s v="Basic"/>
    <d v="2022-02-26T00:00:00"/>
    <n v="2799.96"/>
    <d v="2026-09-17T00:00:00"/>
    <d v="2026-09-17T23:10:06"/>
    <x v="1"/>
  </r>
  <r>
    <x v="116"/>
    <x v="76"/>
    <x v="42"/>
    <s v="Sandra Phillips"/>
    <x v="4"/>
    <x v="4"/>
    <x v="0"/>
    <n v="3"/>
    <x v="3"/>
    <x v="1"/>
    <s v="North"/>
    <s v="Standard"/>
    <d v="2023-08-19T00:00:00"/>
    <n v="2699.97"/>
    <d v="2026-09-17T00:00:00"/>
    <d v="2026-09-17T23:10:06"/>
    <x v="3"/>
  </r>
  <r>
    <x v="117"/>
    <x v="77"/>
    <x v="21"/>
    <s v="Linda Martin"/>
    <x v="2"/>
    <x v="2"/>
    <x v="2"/>
    <n v="3"/>
    <x v="2"/>
    <x v="2"/>
    <s v="East"/>
    <s v="Basic"/>
    <d v="2022-11-21T00:00:00"/>
    <n v="449.97"/>
    <d v="2026-09-17T00:00:00"/>
    <d v="2026-09-17T23:10:06"/>
    <x v="3"/>
  </r>
  <r>
    <x v="118"/>
    <x v="78"/>
    <x v="18"/>
    <s v="Patricia Moore"/>
    <x v="6"/>
    <x v="6"/>
    <x v="2"/>
    <n v="2"/>
    <x v="5"/>
    <x v="3"/>
    <s v="Central"/>
    <s v="Basic"/>
    <d v="2022-01-08T00:00:00"/>
    <n v="599.98"/>
    <d v="2026-09-17T00:00:00"/>
    <d v="2026-09-17T23:10:06"/>
    <x v="1"/>
  </r>
  <r>
    <x v="119"/>
    <x v="79"/>
    <x v="45"/>
    <s v="Richard Lee"/>
    <x v="9"/>
    <x v="9"/>
    <x v="2"/>
    <n v="1"/>
    <x v="8"/>
    <x v="3"/>
    <s v="East"/>
    <s v="Standard"/>
    <d v="2023-01-27T00:00:00"/>
    <n v="199.99"/>
    <d v="2026-09-17T00:00:00"/>
    <d v="2026-09-17T23:10:06"/>
    <x v="3"/>
  </r>
  <r>
    <x v="120"/>
    <x v="80"/>
    <x v="4"/>
    <s v="Michael Brown"/>
    <x v="6"/>
    <x v="6"/>
    <x v="2"/>
    <n v="4"/>
    <x v="5"/>
    <x v="0"/>
    <s v="Central"/>
    <s v="Premium"/>
    <d v="2021-09-21T00:00:00"/>
    <n v="1199.96"/>
    <d v="2026-09-17T00:00:00"/>
    <d v="2026-09-17T23:10:06"/>
    <x v="1"/>
  </r>
  <r>
    <x v="121"/>
    <x v="81"/>
    <x v="15"/>
    <s v="Maria Garcia"/>
    <x v="1"/>
    <x v="1"/>
    <x v="1"/>
    <n v="2"/>
    <x v="1"/>
    <x v="1"/>
    <s v="Central"/>
    <s v="Basic"/>
    <d v="2022-01-18T00:00:00"/>
    <n v="119.98"/>
    <d v="2026-09-17T00:00:00"/>
    <d v="2026-09-17T23:10:06"/>
    <x v="1"/>
  </r>
  <r>
    <x v="122"/>
    <x v="81"/>
    <x v="42"/>
    <s v="Sandra Phillips"/>
    <x v="3"/>
    <x v="3"/>
    <x v="0"/>
    <n v="4"/>
    <x v="2"/>
    <x v="1"/>
    <s v="North"/>
    <s v="Premium"/>
    <d v="2023-05-30T00:00:00"/>
    <n v="599.96"/>
    <d v="2026-09-17T00:00:00"/>
    <d v="2026-09-17T23:10:06"/>
    <x v="3"/>
  </r>
  <r>
    <x v="123"/>
    <x v="82"/>
    <x v="39"/>
    <s v="Elizabeth Hall"/>
    <x v="5"/>
    <x v="5"/>
    <x v="0"/>
    <n v="2"/>
    <x v="4"/>
    <x v="3"/>
    <s v="East"/>
    <s v="Premium"/>
    <d v="2023-12-14T00:00:00"/>
    <n v="1399.98"/>
    <d v="2026-09-17T00:00:00"/>
    <d v="2026-09-17T23:10:06"/>
    <x v="2"/>
  </r>
  <r>
    <x v="124"/>
    <x v="82"/>
    <x v="41"/>
    <s v="Carol Evans"/>
    <x v="2"/>
    <x v="2"/>
    <x v="2"/>
    <n v="3"/>
    <x v="2"/>
    <x v="1"/>
    <s v="South"/>
    <s v="Standard"/>
    <d v="2023-01-14T00:00:00"/>
    <n v="449.97"/>
    <d v="2026-09-17T00:00:00"/>
    <d v="2026-09-17T23:10:06"/>
    <x v="3"/>
  </r>
  <r>
    <x v="125"/>
    <x v="83"/>
    <x v="29"/>
    <s v="Daniel King"/>
    <x v="6"/>
    <x v="6"/>
    <x v="2"/>
    <n v="3"/>
    <x v="5"/>
    <x v="1"/>
    <s v="Central"/>
    <s v="Standard"/>
    <d v="2023-09-05T00:00:00"/>
    <n v="899.97"/>
    <d v="2026-09-17T00:00:00"/>
    <d v="2026-09-17T23:10:06"/>
    <x v="3"/>
  </r>
  <r>
    <x v="126"/>
    <x v="84"/>
    <x v="13"/>
    <s v="George Adams"/>
    <x v="4"/>
    <x v="4"/>
    <x v="0"/>
    <n v="3"/>
    <x v="3"/>
    <x v="2"/>
    <s v="West"/>
    <s v="Basic"/>
    <d v="2023-10-16T00:00:00"/>
    <n v="2699.97"/>
    <d v="2026-09-17T00:00:00"/>
    <d v="2026-09-17T23:10:06"/>
    <x v="2"/>
  </r>
  <r>
    <x v="127"/>
    <x v="85"/>
    <x v="17"/>
    <s v="Barbara Young"/>
    <x v="5"/>
    <x v="5"/>
    <x v="0"/>
    <n v="5"/>
    <x v="4"/>
    <x v="0"/>
    <s v="East"/>
    <s v="Standard"/>
    <d v="2023-03-23T00:00:00"/>
    <n v="3499.95"/>
    <d v="2026-09-17T00:00:00"/>
    <d v="2026-09-17T23:10:06"/>
    <x v="3"/>
  </r>
  <r>
    <x v="128"/>
    <x v="85"/>
    <x v="34"/>
    <s v="Raymond Ross"/>
    <x v="5"/>
    <x v="5"/>
    <x v="0"/>
    <n v="4"/>
    <x v="4"/>
    <x v="1"/>
    <s v="Central"/>
    <s v="Basic"/>
    <d v="2024-04-03T00:00:00"/>
    <n v="2799.96"/>
    <d v="2026-09-17T00:00:00"/>
    <d v="2026-09-17T23:10:06"/>
    <x v="2"/>
  </r>
  <r>
    <x v="129"/>
    <x v="85"/>
    <x v="30"/>
    <s v="Sharon Butler"/>
    <x v="4"/>
    <x v="4"/>
    <x v="0"/>
    <n v="1"/>
    <x v="3"/>
    <x v="1"/>
    <s v="East"/>
    <s v="Standard"/>
    <d v="2024-03-18T00:00:00"/>
    <n v="899.99"/>
    <d v="2026-09-17T00:00:00"/>
    <d v="2026-09-17T23:10:06"/>
    <x v="2"/>
  </r>
  <r>
    <x v="130"/>
    <x v="86"/>
    <x v="40"/>
    <s v="Lawrence Reed"/>
    <x v="3"/>
    <x v="3"/>
    <x v="0"/>
    <n v="2"/>
    <x v="2"/>
    <x v="1"/>
    <s v="West"/>
    <s v="Basic"/>
    <d v="2022-12-21T00:00:00"/>
    <n v="299.98"/>
    <d v="2026-09-17T00:00:00"/>
    <d v="2026-09-17T23:10:06"/>
    <x v="3"/>
  </r>
  <r>
    <x v="131"/>
    <x v="87"/>
    <x v="40"/>
    <s v="Lawrence Reed"/>
    <x v="8"/>
    <x v="8"/>
    <x v="0"/>
    <n v="3"/>
    <x v="7"/>
    <x v="2"/>
    <s v="Central"/>
    <s v="Basic"/>
    <d v="2021-12-21T00:00:00"/>
    <n v="269.97000000000003"/>
    <d v="2026-09-17T00:00:00"/>
    <d v="2026-09-17T23:10:06"/>
    <x v="1"/>
  </r>
  <r>
    <x v="132"/>
    <x v="88"/>
    <x v="3"/>
    <s v="Kathleen Bennett"/>
    <x v="3"/>
    <x v="3"/>
    <x v="0"/>
    <n v="2"/>
    <x v="2"/>
    <x v="2"/>
    <s v="Central"/>
    <s v="Basic"/>
    <d v="2021-10-04T00:00:00"/>
    <n v="299.98"/>
    <d v="2026-09-17T00:00:00"/>
    <d v="2026-09-17T23:10:06"/>
    <x v="1"/>
  </r>
  <r>
    <x v="133"/>
    <x v="88"/>
    <x v="31"/>
    <s v="Sarah Davis"/>
    <x v="5"/>
    <x v="5"/>
    <x v="0"/>
    <n v="2"/>
    <x v="4"/>
    <x v="0"/>
    <s v="Central"/>
    <s v="Basic"/>
    <d v="2023-03-07T00:00:00"/>
    <n v="1399.98"/>
    <d v="2026-09-17T00:00:00"/>
    <d v="2026-09-17T23:10:06"/>
    <x v="3"/>
  </r>
  <r>
    <x v="134"/>
    <x v="89"/>
    <x v="32"/>
    <s v="Betty Campbell"/>
    <x v="5"/>
    <x v="5"/>
    <x v="0"/>
    <n v="5"/>
    <x v="4"/>
    <x v="0"/>
    <s v="North"/>
    <s v="Premium"/>
    <d v="2022-03-15T00:00:00"/>
    <n v="3499.95"/>
    <d v="2026-09-17T00:00:00"/>
    <d v="2026-09-17T23:10:06"/>
    <x v="1"/>
  </r>
  <r>
    <x v="135"/>
    <x v="90"/>
    <x v="34"/>
    <s v="Raymond Ross"/>
    <x v="8"/>
    <x v="8"/>
    <x v="0"/>
    <n v="3"/>
    <x v="7"/>
    <x v="1"/>
    <s v="North"/>
    <s v="Standard"/>
    <d v="2022-02-23T00:00:00"/>
    <n v="269.97000000000003"/>
    <d v="2026-09-17T00:00:00"/>
    <d v="2026-09-17T23:10:06"/>
    <x v="1"/>
  </r>
  <r>
    <x v="136"/>
    <x v="91"/>
    <x v="0"/>
    <s v="Paul Baker"/>
    <x v="0"/>
    <x v="0"/>
    <x v="0"/>
    <n v="5"/>
    <x v="0"/>
    <x v="1"/>
    <s v="South"/>
    <s v="Standard"/>
    <d v="2022-11-16T00:00:00"/>
    <n v="1249.95"/>
    <d v="2026-09-17T00:00:00"/>
    <d v="2026-09-17T23:10:06"/>
    <x v="3"/>
  </r>
  <r>
    <x v="137"/>
    <x v="92"/>
    <x v="8"/>
    <s v="Karen Hill"/>
    <x v="6"/>
    <x v="6"/>
    <x v="2"/>
    <n v="3"/>
    <x v="5"/>
    <x v="1"/>
    <s v="South"/>
    <s v="Standard"/>
    <d v="2021-11-02T00:00:00"/>
    <n v="899.97"/>
    <d v="2026-09-17T00:00:00"/>
    <d v="2026-09-17T23:10:06"/>
    <x v="1"/>
  </r>
  <r>
    <x v="138"/>
    <x v="93"/>
    <x v="18"/>
    <s v="Patricia Moore"/>
    <x v="8"/>
    <x v="8"/>
    <x v="0"/>
    <n v="3"/>
    <x v="7"/>
    <x v="1"/>
    <s v="North"/>
    <s v="Premium"/>
    <d v="2021-08-12T00:00:00"/>
    <n v="269.97000000000003"/>
    <d v="2026-09-17T00:00:00"/>
    <d v="2026-09-17T23:10:06"/>
    <x v="0"/>
  </r>
  <r>
    <x v="139"/>
    <x v="94"/>
    <x v="15"/>
    <s v="Maria Garcia"/>
    <x v="2"/>
    <x v="2"/>
    <x v="2"/>
    <n v="2"/>
    <x v="2"/>
    <x v="1"/>
    <s v="West"/>
    <s v="Premium"/>
    <d v="2022-10-14T00:00:00"/>
    <n v="299.98"/>
    <d v="2026-09-17T00:00:00"/>
    <d v="2026-09-17T23:10:06"/>
    <x v="3"/>
  </r>
  <r>
    <x v="140"/>
    <x v="95"/>
    <x v="36"/>
    <s v="Margaret Wright"/>
    <x v="0"/>
    <x v="0"/>
    <x v="0"/>
    <n v="1"/>
    <x v="0"/>
    <x v="1"/>
    <s v="North"/>
    <s v="Premium"/>
    <d v="2022-09-24T00:00:00"/>
    <n v="249.99"/>
    <d v="2026-09-17T00:00:00"/>
    <d v="2026-09-17T23:10:06"/>
    <x v="3"/>
  </r>
  <r>
    <x v="141"/>
    <x v="96"/>
    <x v="10"/>
    <s v="Peter Richardson"/>
    <x v="3"/>
    <x v="3"/>
    <x v="0"/>
    <n v="3"/>
    <x v="2"/>
    <x v="0"/>
    <s v="North"/>
    <s v="Basic"/>
    <d v="2022-07-27T00:00:00"/>
    <n v="449.97"/>
    <d v="2026-09-17T00:00:00"/>
    <d v="2026-09-17T23:10:06"/>
    <x v="1"/>
  </r>
  <r>
    <x v="142"/>
    <x v="96"/>
    <x v="0"/>
    <s v="Paul Baker"/>
    <x v="1"/>
    <x v="1"/>
    <x v="1"/>
    <n v="5"/>
    <x v="1"/>
    <x v="2"/>
    <s v="West"/>
    <s v="Premium"/>
    <d v="2022-05-13T00:00:00"/>
    <n v="299.95"/>
    <d v="2026-09-17T00:00:00"/>
    <d v="2026-09-17T23:10:06"/>
    <x v="1"/>
  </r>
  <r>
    <x v="143"/>
    <x v="96"/>
    <x v="18"/>
    <s v="Patricia Moore"/>
    <x v="0"/>
    <x v="0"/>
    <x v="0"/>
    <n v="4"/>
    <x v="0"/>
    <x v="1"/>
    <s v="West"/>
    <s v="Standard"/>
    <d v="2022-04-08T00:00:00"/>
    <n v="999.96"/>
    <d v="2026-09-17T00:00:00"/>
    <d v="2026-09-17T23:10:06"/>
    <x v="1"/>
  </r>
  <r>
    <x v="144"/>
    <x v="97"/>
    <x v="31"/>
    <s v="Sarah Davis"/>
    <x v="2"/>
    <x v="2"/>
    <x v="2"/>
    <n v="5"/>
    <x v="2"/>
    <x v="2"/>
    <s v="Central"/>
    <s v="Basic"/>
    <d v="2022-12-06T00:00:00"/>
    <n v="749.95"/>
    <d v="2026-09-17T00:00:00"/>
    <d v="2026-09-17T23:10:06"/>
    <x v="3"/>
  </r>
  <r>
    <x v="145"/>
    <x v="97"/>
    <x v="13"/>
    <s v="George Adams"/>
    <x v="1"/>
    <x v="1"/>
    <x v="1"/>
    <n v="3"/>
    <x v="1"/>
    <x v="3"/>
    <s v="South"/>
    <s v="Standard"/>
    <d v="2023-11-30T00:00:00"/>
    <n v="179.97"/>
    <d v="2026-09-17T00:00:00"/>
    <d v="2026-09-17T23:10:06"/>
    <x v="2"/>
  </r>
  <r>
    <x v="146"/>
    <x v="98"/>
    <x v="42"/>
    <s v="Sandra Phillips"/>
    <x v="2"/>
    <x v="2"/>
    <x v="2"/>
    <n v="5"/>
    <x v="2"/>
    <x v="0"/>
    <s v="North"/>
    <s v="Basic"/>
    <d v="2022-11-04T00:00:00"/>
    <n v="749.95"/>
    <d v="2026-09-17T00:00:00"/>
    <d v="2026-09-17T23:10:06"/>
    <x v="3"/>
  </r>
  <r>
    <x v="147"/>
    <x v="98"/>
    <x v="14"/>
    <s v="Mark Carter"/>
    <x v="5"/>
    <x v="5"/>
    <x v="0"/>
    <n v="2"/>
    <x v="4"/>
    <x v="2"/>
    <s v="West"/>
    <s v="Standard"/>
    <d v="2022-07-28T00:00:00"/>
    <n v="1399.98"/>
    <d v="2026-09-17T00:00:00"/>
    <d v="2026-09-17T23:10:06"/>
    <x v="1"/>
  </r>
  <r>
    <x v="148"/>
    <x v="99"/>
    <x v="23"/>
    <s v="Edward Mitchell"/>
    <x v="9"/>
    <x v="9"/>
    <x v="2"/>
    <n v="4"/>
    <x v="8"/>
    <x v="3"/>
    <s v="Central"/>
    <s v="Premium"/>
    <d v="2021-08-19T00:00:00"/>
    <n v="799.96"/>
    <d v="2026-09-17T00:00:00"/>
    <d v="2026-09-17T23:10:06"/>
    <x v="0"/>
  </r>
  <r>
    <x v="149"/>
    <x v="100"/>
    <x v="37"/>
    <s v="Frank Torres"/>
    <x v="1"/>
    <x v="1"/>
    <x v="1"/>
    <n v="1"/>
    <x v="1"/>
    <x v="3"/>
    <s v="West"/>
    <s v="Standard"/>
    <d v="2021-12-30T00:00:00"/>
    <n v="59.99"/>
    <d v="2026-09-17T00:00:00"/>
    <d v="2026-09-17T23:10:06"/>
    <x v="1"/>
  </r>
  <r>
    <x v="150"/>
    <x v="100"/>
    <x v="31"/>
    <s v="Sarah Davis"/>
    <x v="5"/>
    <x v="5"/>
    <x v="0"/>
    <n v="3"/>
    <x v="4"/>
    <x v="2"/>
    <s v="West"/>
    <s v="Standard"/>
    <d v="2022-01-22T00:00:00"/>
    <n v="2099.9699999999998"/>
    <d v="2026-09-17T00:00:00"/>
    <d v="2026-09-17T23:10:06"/>
    <x v="1"/>
  </r>
  <r>
    <x v="151"/>
    <x v="101"/>
    <x v="46"/>
    <s v="Douglas Watson"/>
    <x v="0"/>
    <x v="0"/>
    <x v="0"/>
    <n v="5"/>
    <x v="0"/>
    <x v="1"/>
    <s v="North"/>
    <s v="Basic"/>
    <d v="2022-11-08T00:00:00"/>
    <n v="1249.95"/>
    <d v="2026-09-17T00:00:00"/>
    <d v="2026-09-17T23:10:06"/>
    <x v="3"/>
  </r>
  <r>
    <x v="152"/>
    <x v="102"/>
    <x v="21"/>
    <s v="Linda Martin"/>
    <x v="2"/>
    <x v="2"/>
    <x v="2"/>
    <n v="2"/>
    <x v="2"/>
    <x v="0"/>
    <s v="South"/>
    <s v="Standard"/>
    <d v="2023-06-24T00:00:00"/>
    <n v="299.98"/>
    <d v="2026-09-17T00:00:00"/>
    <d v="2026-09-17T23:10:06"/>
    <x v="3"/>
  </r>
  <r>
    <x v="153"/>
    <x v="103"/>
    <x v="2"/>
    <s v="Kevin Scott"/>
    <x v="6"/>
    <x v="6"/>
    <x v="2"/>
    <n v="3"/>
    <x v="5"/>
    <x v="0"/>
    <s v="South"/>
    <s v="Premium"/>
    <d v="2022-04-08T00:00:00"/>
    <n v="899.97"/>
    <d v="2026-09-17T00:00:00"/>
    <d v="2026-09-17T23:10:06"/>
    <x v="1"/>
  </r>
  <r>
    <x v="154"/>
    <x v="103"/>
    <x v="6"/>
    <s v="Charles Allen"/>
    <x v="0"/>
    <x v="0"/>
    <x v="0"/>
    <n v="5"/>
    <x v="0"/>
    <x v="0"/>
    <s v="Central"/>
    <s v="Premium"/>
    <d v="2021-10-16T00:00:00"/>
    <n v="1249.95"/>
    <d v="2026-09-17T00:00:00"/>
    <d v="2026-09-17T23:10:06"/>
    <x v="1"/>
  </r>
  <r>
    <x v="155"/>
    <x v="103"/>
    <x v="1"/>
    <s v="Joseph Jackson"/>
    <x v="3"/>
    <x v="3"/>
    <x v="0"/>
    <n v="2"/>
    <x v="2"/>
    <x v="0"/>
    <s v="South"/>
    <s v="Premium"/>
    <d v="2021-10-06T00:00:00"/>
    <n v="299.98"/>
    <d v="2026-09-17T00:00:00"/>
    <d v="2026-09-17T23:10:06"/>
    <x v="1"/>
  </r>
  <r>
    <x v="156"/>
    <x v="103"/>
    <x v="14"/>
    <s v="Mark Carter"/>
    <x v="5"/>
    <x v="5"/>
    <x v="0"/>
    <n v="5"/>
    <x v="4"/>
    <x v="3"/>
    <s v="West"/>
    <s v="Standard"/>
    <d v="2023-01-18T00:00:00"/>
    <n v="3499.95"/>
    <d v="2026-09-17T00:00:00"/>
    <d v="2026-09-17T23:10:06"/>
    <x v="3"/>
  </r>
  <r>
    <x v="157"/>
    <x v="104"/>
    <x v="44"/>
    <s v="William White"/>
    <x v="0"/>
    <x v="0"/>
    <x v="0"/>
    <n v="4"/>
    <x v="0"/>
    <x v="2"/>
    <s v="East"/>
    <s v="Premium"/>
    <d v="2023-06-21T00:00:00"/>
    <n v="999.96"/>
    <d v="2026-09-17T00:00:00"/>
    <d v="2026-09-17T23:10:06"/>
    <x v="3"/>
  </r>
  <r>
    <x v="158"/>
    <x v="105"/>
    <x v="5"/>
    <s v="Dorothy Nelson"/>
    <x v="5"/>
    <x v="5"/>
    <x v="0"/>
    <n v="4"/>
    <x v="4"/>
    <x v="1"/>
    <s v="North"/>
    <s v="Premium"/>
    <d v="2022-05-22T00:00:00"/>
    <n v="2799.96"/>
    <d v="2026-09-17T00:00:00"/>
    <d v="2026-09-17T23:10:06"/>
    <x v="1"/>
  </r>
  <r>
    <x v="159"/>
    <x v="106"/>
    <x v="20"/>
    <s v="Nancy Collins"/>
    <x v="0"/>
    <x v="0"/>
    <x v="0"/>
    <n v="2"/>
    <x v="0"/>
    <x v="1"/>
    <s v="Central"/>
    <s v="Premium"/>
    <d v="2021-07-19T00:00:00"/>
    <n v="499.98"/>
    <d v="2026-09-17T00:00:00"/>
    <d v="2026-09-17T23:10:06"/>
    <x v="0"/>
  </r>
  <r>
    <x v="160"/>
    <x v="106"/>
    <x v="47"/>
    <s v="James Johnson"/>
    <x v="1"/>
    <x v="1"/>
    <x v="1"/>
    <n v="3"/>
    <x v="1"/>
    <x v="0"/>
    <s v="Central"/>
    <s v="Premium"/>
    <d v="2023-05-06T00:00:00"/>
    <n v="179.97"/>
    <d v="2026-09-17T00:00:00"/>
    <d v="2026-09-17T23:10:06"/>
    <x v="3"/>
  </r>
  <r>
    <x v="161"/>
    <x v="106"/>
    <x v="27"/>
    <s v="Jennifer Taylor"/>
    <x v="7"/>
    <x v="7"/>
    <x v="1"/>
    <n v="4"/>
    <x v="6"/>
    <x v="3"/>
    <s v="East"/>
    <s v="Standard"/>
    <d v="2022-12-26T00:00:00"/>
    <n v="319.95999999999998"/>
    <d v="2026-09-17T00:00:00"/>
    <d v="2026-09-17T23:10:06"/>
    <x v="3"/>
  </r>
  <r>
    <x v="162"/>
    <x v="107"/>
    <x v="22"/>
    <s v="Helen Roberts"/>
    <x v="7"/>
    <x v="7"/>
    <x v="1"/>
    <n v="3"/>
    <x v="6"/>
    <x v="3"/>
    <s v="East"/>
    <s v="Standard"/>
    <d v="2022-08-06T00:00:00"/>
    <n v="239.97"/>
    <d v="2026-09-17T00:00:00"/>
    <d v="2026-09-17T23:10:06"/>
    <x v="1"/>
  </r>
  <r>
    <x v="163"/>
    <x v="108"/>
    <x v="10"/>
    <s v="Peter Richardson"/>
    <x v="4"/>
    <x v="4"/>
    <x v="0"/>
    <n v="2"/>
    <x v="3"/>
    <x v="0"/>
    <s v="North"/>
    <s v="Basic"/>
    <d v="2021-07-29T00:00:00"/>
    <n v="1799.98"/>
    <d v="2026-09-17T00:00:00"/>
    <d v="2026-09-17T23:10:06"/>
    <x v="0"/>
  </r>
  <r>
    <x v="164"/>
    <x v="109"/>
    <x v="35"/>
    <s v="David Martinez"/>
    <x v="2"/>
    <x v="2"/>
    <x v="2"/>
    <n v="1"/>
    <x v="2"/>
    <x v="3"/>
    <s v="East"/>
    <s v="Standard"/>
    <d v="2023-10-01T00:00:00"/>
    <n v="149.99"/>
    <d v="2026-09-17T00:00:00"/>
    <d v="2026-09-17T23:10:06"/>
    <x v="2"/>
  </r>
  <r>
    <x v="165"/>
    <x v="109"/>
    <x v="26"/>
    <s v="Steven Turner"/>
    <x v="6"/>
    <x v="6"/>
    <x v="2"/>
    <n v="2"/>
    <x v="5"/>
    <x v="0"/>
    <s v="East"/>
    <s v="Premium"/>
    <d v="2022-06-12T00:00:00"/>
    <n v="599.98"/>
    <d v="2026-09-17T00:00:00"/>
    <d v="2026-09-17T23:10:06"/>
    <x v="1"/>
  </r>
  <r>
    <x v="166"/>
    <x v="110"/>
    <x v="25"/>
    <s v="Emma Wilson"/>
    <x v="1"/>
    <x v="1"/>
    <x v="1"/>
    <n v="2"/>
    <x v="1"/>
    <x v="0"/>
    <s v="West"/>
    <s v="Basic"/>
    <d v="2023-09-22T00:00:00"/>
    <n v="119.98"/>
    <d v="2026-09-17T00:00:00"/>
    <d v="2026-09-17T23:10:06"/>
    <x v="2"/>
  </r>
  <r>
    <x v="167"/>
    <x v="111"/>
    <x v="35"/>
    <s v="David Martinez"/>
    <x v="8"/>
    <x v="8"/>
    <x v="0"/>
    <n v="1"/>
    <x v="7"/>
    <x v="3"/>
    <s v="Central"/>
    <s v="Standard"/>
    <d v="2022-07-18T00:00:00"/>
    <n v="89.99"/>
    <d v="2026-09-17T00:00:00"/>
    <d v="2026-09-17T23:10:06"/>
    <x v="1"/>
  </r>
  <r>
    <x v="168"/>
    <x v="111"/>
    <x v="29"/>
    <s v="Daniel King"/>
    <x v="4"/>
    <x v="4"/>
    <x v="0"/>
    <n v="5"/>
    <x v="3"/>
    <x v="3"/>
    <s v="East"/>
    <s v="Standard"/>
    <d v="2022-03-05T00:00:00"/>
    <n v="4499.95"/>
    <d v="2026-09-17T00:00:00"/>
    <d v="2026-09-17T23:10:06"/>
    <x v="1"/>
  </r>
  <r>
    <x v="169"/>
    <x v="112"/>
    <x v="4"/>
    <s v="Michael Brown"/>
    <x v="2"/>
    <x v="2"/>
    <x v="2"/>
    <n v="2"/>
    <x v="2"/>
    <x v="0"/>
    <s v="South"/>
    <s v="Basic"/>
    <d v="2023-11-09T00:00:00"/>
    <n v="299.98"/>
    <d v="2026-09-17T00:00:00"/>
    <d v="2026-09-17T23:10:06"/>
    <x v="2"/>
  </r>
  <r>
    <x v="170"/>
    <x v="113"/>
    <x v="21"/>
    <s v="Linda Martin"/>
    <x v="3"/>
    <x v="3"/>
    <x v="0"/>
    <n v="2"/>
    <x v="2"/>
    <x v="3"/>
    <s v="West"/>
    <s v="Premium"/>
    <d v="2023-12-20T00:00:00"/>
    <n v="299.98"/>
    <d v="2026-09-17T00:00:00"/>
    <d v="2026-09-17T23:10:06"/>
    <x v="2"/>
  </r>
  <r>
    <x v="171"/>
    <x v="113"/>
    <x v="35"/>
    <s v="David Martinez"/>
    <x v="2"/>
    <x v="2"/>
    <x v="2"/>
    <n v="3"/>
    <x v="2"/>
    <x v="3"/>
    <s v="North"/>
    <s v="Standard"/>
    <d v="2021-11-22T00:00:00"/>
    <n v="449.97"/>
    <d v="2026-09-17T00:00:00"/>
    <d v="2026-09-17T23:10:06"/>
    <x v="1"/>
  </r>
  <r>
    <x v="172"/>
    <x v="114"/>
    <x v="2"/>
    <s v="Kevin Scott"/>
    <x v="6"/>
    <x v="6"/>
    <x v="2"/>
    <n v="2"/>
    <x v="5"/>
    <x v="2"/>
    <s v="South"/>
    <s v="Basic"/>
    <d v="2022-06-09T00:00:00"/>
    <n v="599.98"/>
    <d v="2026-09-17T00:00:00"/>
    <d v="2026-09-17T23:10:06"/>
    <x v="1"/>
  </r>
  <r>
    <x v="173"/>
    <x v="115"/>
    <x v="4"/>
    <s v="Michael Brown"/>
    <x v="6"/>
    <x v="6"/>
    <x v="2"/>
    <n v="2"/>
    <x v="5"/>
    <x v="0"/>
    <s v="West"/>
    <s v="Basic"/>
    <d v="2022-07-29T00:00:00"/>
    <n v="599.98"/>
    <d v="2026-09-17T00:00:00"/>
    <d v="2026-09-17T23:10:06"/>
    <x v="1"/>
  </r>
  <r>
    <x v="174"/>
    <x v="115"/>
    <x v="22"/>
    <s v="Helen Roberts"/>
    <x v="9"/>
    <x v="9"/>
    <x v="2"/>
    <n v="4"/>
    <x v="8"/>
    <x v="1"/>
    <s v="Central"/>
    <s v="Basic"/>
    <d v="2021-11-23T00:00:00"/>
    <n v="799.96"/>
    <d v="2026-09-17T00:00:00"/>
    <d v="2026-09-17T23:10:06"/>
    <x v="1"/>
  </r>
  <r>
    <x v="175"/>
    <x v="116"/>
    <x v="7"/>
    <s v="Robert Thomas"/>
    <x v="8"/>
    <x v="8"/>
    <x v="0"/>
    <n v="1"/>
    <x v="7"/>
    <x v="1"/>
    <s v="South"/>
    <s v="Premium"/>
    <d v="2022-01-30T00:00:00"/>
    <n v="89.99"/>
    <d v="2026-09-17T00:00:00"/>
    <d v="2026-09-17T23:10:06"/>
    <x v="1"/>
  </r>
  <r>
    <x v="176"/>
    <x v="116"/>
    <x v="20"/>
    <s v="Nancy Collins"/>
    <x v="2"/>
    <x v="2"/>
    <x v="2"/>
    <n v="5"/>
    <x v="2"/>
    <x v="0"/>
    <s v="Central"/>
    <s v="Premium"/>
    <d v="2024-02-25T00:00:00"/>
    <n v="749.95"/>
    <d v="2026-09-17T00:00:00"/>
    <d v="2026-09-17T23:10:06"/>
    <x v="2"/>
  </r>
  <r>
    <x v="177"/>
    <x v="117"/>
    <x v="14"/>
    <s v="Mark Carter"/>
    <x v="4"/>
    <x v="4"/>
    <x v="0"/>
    <n v="1"/>
    <x v="3"/>
    <x v="2"/>
    <s v="North"/>
    <s v="Premium"/>
    <d v="2023-05-04T00:00:00"/>
    <n v="899.99"/>
    <d v="2026-09-17T00:00:00"/>
    <d v="2026-09-17T23:10:06"/>
    <x v="3"/>
  </r>
  <r>
    <x v="178"/>
    <x v="118"/>
    <x v="29"/>
    <s v="Daniel King"/>
    <x v="8"/>
    <x v="8"/>
    <x v="0"/>
    <n v="2"/>
    <x v="7"/>
    <x v="1"/>
    <s v="South"/>
    <s v="Premium"/>
    <d v="2022-01-03T00:00:00"/>
    <n v="179.98"/>
    <d v="2026-09-17T00:00:00"/>
    <d v="2026-09-17T23:10:06"/>
    <x v="1"/>
  </r>
  <r>
    <x v="179"/>
    <x v="119"/>
    <x v="48"/>
    <s v="Arthur Edwards"/>
    <x v="4"/>
    <x v="4"/>
    <x v="0"/>
    <n v="1"/>
    <x v="3"/>
    <x v="2"/>
    <s v="North"/>
    <s v="Standard"/>
    <d v="2022-07-10T00:00:00"/>
    <n v="899.99"/>
    <d v="2026-09-17T00:00:00"/>
    <d v="2026-09-17T23:10:06"/>
    <x v="1"/>
  </r>
  <r>
    <x v="180"/>
    <x v="120"/>
    <x v="24"/>
    <s v="Lisa Anderson"/>
    <x v="3"/>
    <x v="3"/>
    <x v="0"/>
    <n v="5"/>
    <x v="2"/>
    <x v="2"/>
    <s v="East"/>
    <s v="Premium"/>
    <d v="2022-09-20T00:00:00"/>
    <n v="749.95"/>
    <d v="2026-09-17T00:00:00"/>
    <d v="2026-09-17T23:10:06"/>
    <x v="3"/>
  </r>
  <r>
    <x v="181"/>
    <x v="120"/>
    <x v="4"/>
    <s v="Michael Brown"/>
    <x v="6"/>
    <x v="6"/>
    <x v="2"/>
    <n v="3"/>
    <x v="5"/>
    <x v="0"/>
    <s v="South"/>
    <s v="Standard"/>
    <d v="2021-08-14T00:00:00"/>
    <n v="899.97"/>
    <d v="2026-09-17T00:00:00"/>
    <d v="2026-09-17T23:10:06"/>
    <x v="0"/>
  </r>
  <r>
    <x v="182"/>
    <x v="121"/>
    <x v="8"/>
    <s v="Karen Hill"/>
    <x v="5"/>
    <x v="5"/>
    <x v="0"/>
    <n v="3"/>
    <x v="4"/>
    <x v="1"/>
    <s v="Central"/>
    <s v="Premium"/>
    <d v="2023-06-28T00:00:00"/>
    <n v="2099.9699999999998"/>
    <d v="2026-09-17T00:00:00"/>
    <d v="2026-09-17T23:10:06"/>
    <x v="3"/>
  </r>
  <r>
    <x v="183"/>
    <x v="122"/>
    <x v="20"/>
    <s v="Nancy Collins"/>
    <x v="9"/>
    <x v="9"/>
    <x v="2"/>
    <n v="5"/>
    <x v="8"/>
    <x v="2"/>
    <s v="Central"/>
    <s v="Standard"/>
    <d v="2022-03-13T00:00:00"/>
    <n v="999.95"/>
    <d v="2026-09-17T00:00:00"/>
    <d v="2026-09-17T23:10:06"/>
    <x v="1"/>
  </r>
  <r>
    <x v="184"/>
    <x v="122"/>
    <x v="16"/>
    <s v="Virginia Sanders"/>
    <x v="0"/>
    <x v="0"/>
    <x v="0"/>
    <n v="5"/>
    <x v="0"/>
    <x v="1"/>
    <s v="South"/>
    <s v="Basic"/>
    <d v="2024-02-08T00:00:00"/>
    <n v="1249.95"/>
    <d v="2026-09-17T00:00:00"/>
    <d v="2026-09-17T23:10:06"/>
    <x v="2"/>
  </r>
  <r>
    <x v="185"/>
    <x v="123"/>
    <x v="26"/>
    <s v="Steven Turner"/>
    <x v="3"/>
    <x v="3"/>
    <x v="0"/>
    <n v="4"/>
    <x v="2"/>
    <x v="3"/>
    <s v="East"/>
    <s v="Standard"/>
    <d v="2021-12-06T00:00:00"/>
    <n v="599.96"/>
    <d v="2026-09-17T00:00:00"/>
    <d v="2026-09-17T23:10:06"/>
    <x v="1"/>
  </r>
  <r>
    <x v="186"/>
    <x v="123"/>
    <x v="12"/>
    <s v="Michelle Rogers"/>
    <x v="5"/>
    <x v="5"/>
    <x v="0"/>
    <n v="3"/>
    <x v="4"/>
    <x v="0"/>
    <s v="North"/>
    <s v="Premium"/>
    <d v="2022-02-10T00:00:00"/>
    <n v="2099.9699999999998"/>
    <d v="2026-09-17T00:00:00"/>
    <d v="2026-09-17T23:10:06"/>
    <x v="1"/>
  </r>
  <r>
    <x v="187"/>
    <x v="124"/>
    <x v="46"/>
    <s v="Douglas Watson"/>
    <x v="7"/>
    <x v="7"/>
    <x v="1"/>
    <n v="1"/>
    <x v="6"/>
    <x v="1"/>
    <s v="South"/>
    <s v="Basic"/>
    <d v="2024-01-31T00:00:00"/>
    <n v="79.989999999999995"/>
    <d v="2026-09-17T00:00:00"/>
    <d v="2026-09-17T23:10:06"/>
    <x v="2"/>
  </r>
  <r>
    <x v="188"/>
    <x v="124"/>
    <x v="14"/>
    <s v="Mark Carter"/>
    <x v="6"/>
    <x v="6"/>
    <x v="2"/>
    <n v="1"/>
    <x v="5"/>
    <x v="1"/>
    <s v="North"/>
    <s v="Basic"/>
    <d v="2021-08-28T00:00:00"/>
    <n v="299.99"/>
    <d v="2026-09-17T00:00:00"/>
    <d v="2026-09-17T23:10:06"/>
    <x v="0"/>
  </r>
  <r>
    <x v="189"/>
    <x v="125"/>
    <x v="32"/>
    <s v="Betty Campbell"/>
    <x v="0"/>
    <x v="0"/>
    <x v="0"/>
    <n v="4"/>
    <x v="0"/>
    <x v="1"/>
    <s v="North"/>
    <s v="Premium"/>
    <d v="2021-09-21T00:00:00"/>
    <n v="999.96"/>
    <d v="2026-09-17T00:00:00"/>
    <d v="2026-09-17T23:10:06"/>
    <x v="1"/>
  </r>
  <r>
    <x v="190"/>
    <x v="125"/>
    <x v="22"/>
    <s v="Helen Roberts"/>
    <x v="3"/>
    <x v="3"/>
    <x v="0"/>
    <n v="2"/>
    <x v="2"/>
    <x v="0"/>
    <s v="North"/>
    <s v="Standard"/>
    <d v="2022-12-18T00:00:00"/>
    <n v="299.98"/>
    <d v="2026-09-17T00:00:00"/>
    <d v="2026-09-17T23:10:06"/>
    <x v="3"/>
  </r>
  <r>
    <x v="191"/>
    <x v="125"/>
    <x v="42"/>
    <s v="Sandra Phillips"/>
    <x v="6"/>
    <x v="6"/>
    <x v="2"/>
    <n v="3"/>
    <x v="5"/>
    <x v="1"/>
    <s v="South"/>
    <s v="Basic"/>
    <d v="2023-10-05T00:00:00"/>
    <n v="899.97"/>
    <d v="2026-09-17T00:00:00"/>
    <d v="2026-09-17T23:10:06"/>
    <x v="2"/>
  </r>
  <r>
    <x v="192"/>
    <x v="126"/>
    <x v="40"/>
    <s v="Lawrence Reed"/>
    <x v="9"/>
    <x v="9"/>
    <x v="2"/>
    <n v="4"/>
    <x v="8"/>
    <x v="3"/>
    <s v="South"/>
    <s v="Standard"/>
    <d v="2021-12-14T00:00:00"/>
    <n v="799.96"/>
    <d v="2026-09-17T00:00:00"/>
    <d v="2026-09-17T23:10:06"/>
    <x v="1"/>
  </r>
  <r>
    <x v="193"/>
    <x v="126"/>
    <x v="39"/>
    <s v="Elizabeth Hall"/>
    <x v="6"/>
    <x v="6"/>
    <x v="2"/>
    <n v="5"/>
    <x v="5"/>
    <x v="3"/>
    <s v="Central"/>
    <s v="Basic"/>
    <d v="2021-08-23T00:00:00"/>
    <n v="1499.95"/>
    <d v="2026-09-17T00:00:00"/>
    <d v="2026-09-17T23:10:06"/>
    <x v="0"/>
  </r>
  <r>
    <x v="194"/>
    <x v="126"/>
    <x v="7"/>
    <s v="Robert Thomas"/>
    <x v="2"/>
    <x v="2"/>
    <x v="2"/>
    <n v="3"/>
    <x v="2"/>
    <x v="1"/>
    <s v="East"/>
    <s v="Standard"/>
    <d v="2021-07-18T00:00:00"/>
    <n v="449.97"/>
    <d v="2026-09-17T00:00:00"/>
    <d v="2026-09-17T23:10:06"/>
    <x v="0"/>
  </r>
  <r>
    <x v="195"/>
    <x v="127"/>
    <x v="24"/>
    <s v="Lisa Anderson"/>
    <x v="1"/>
    <x v="1"/>
    <x v="1"/>
    <n v="5"/>
    <x v="1"/>
    <x v="3"/>
    <s v="East"/>
    <s v="Basic"/>
    <d v="2022-03-22T00:00:00"/>
    <n v="299.95"/>
    <d v="2026-09-17T00:00:00"/>
    <d v="2026-09-17T23:10:06"/>
    <x v="1"/>
  </r>
  <r>
    <x v="196"/>
    <x v="128"/>
    <x v="9"/>
    <s v="Susan Green"/>
    <x v="1"/>
    <x v="1"/>
    <x v="1"/>
    <n v="4"/>
    <x v="1"/>
    <x v="3"/>
    <s v="East"/>
    <s v="Standard"/>
    <d v="2022-01-03T00:00:00"/>
    <n v="239.96"/>
    <d v="2026-09-17T00:00:00"/>
    <d v="2026-09-17T23:10:06"/>
    <x v="1"/>
  </r>
  <r>
    <x v="197"/>
    <x v="129"/>
    <x v="5"/>
    <s v="Dorothy Nelson"/>
    <x v="0"/>
    <x v="0"/>
    <x v="0"/>
    <n v="4"/>
    <x v="0"/>
    <x v="3"/>
    <s v="Central"/>
    <s v="Premium"/>
    <d v="2023-10-18T00:00:00"/>
    <n v="999.96"/>
    <d v="2026-09-17T00:00:00"/>
    <d v="2026-09-17T23:10:06"/>
    <x v="2"/>
  </r>
  <r>
    <x v="198"/>
    <x v="130"/>
    <x v="44"/>
    <s v="William White"/>
    <x v="4"/>
    <x v="4"/>
    <x v="0"/>
    <n v="4"/>
    <x v="3"/>
    <x v="2"/>
    <s v="Central"/>
    <s v="Basic"/>
    <d v="2022-06-22T00:00:00"/>
    <n v="3599.96"/>
    <d v="2026-09-17T00:00:00"/>
    <d v="2026-09-17T23:10:06"/>
    <x v="1"/>
  </r>
  <r>
    <x v="199"/>
    <x v="130"/>
    <x v="14"/>
    <s v="Mark Carter"/>
    <x v="6"/>
    <x v="6"/>
    <x v="2"/>
    <n v="3"/>
    <x v="5"/>
    <x v="3"/>
    <s v="West"/>
    <s v="Standard"/>
    <d v="2023-01-26T00:00:00"/>
    <n v="899.97"/>
    <d v="2026-09-17T00:00:00"/>
    <d v="2026-09-17T23:10:06"/>
    <x v="3"/>
  </r>
  <r>
    <x v="200"/>
    <x v="130"/>
    <x v="46"/>
    <s v="Douglas Watson"/>
    <x v="5"/>
    <x v="5"/>
    <x v="0"/>
    <n v="2"/>
    <x v="4"/>
    <x v="3"/>
    <s v="Central"/>
    <s v="Premium"/>
    <d v="2022-04-30T00:00:00"/>
    <n v="1399.98"/>
    <d v="2026-09-17T00:00:00"/>
    <d v="2026-09-17T23:10:06"/>
    <x v="1"/>
  </r>
  <r>
    <x v="201"/>
    <x v="131"/>
    <x v="8"/>
    <s v="Karen Hill"/>
    <x v="5"/>
    <x v="5"/>
    <x v="0"/>
    <n v="4"/>
    <x v="4"/>
    <x v="3"/>
    <s v="West"/>
    <s v="Premium"/>
    <d v="2022-05-11T00:00:00"/>
    <n v="2799.96"/>
    <d v="2026-09-17T00:00:00"/>
    <d v="2026-09-17T23:10:06"/>
    <x v="1"/>
  </r>
  <r>
    <x v="202"/>
    <x v="131"/>
    <x v="23"/>
    <s v="Edward Mitchell"/>
    <x v="8"/>
    <x v="8"/>
    <x v="0"/>
    <n v="2"/>
    <x v="7"/>
    <x v="3"/>
    <s v="South"/>
    <s v="Basic"/>
    <d v="2022-08-04T00:00:00"/>
    <n v="179.98"/>
    <d v="2026-09-17T00:00:00"/>
    <d v="2026-09-17T23:10:06"/>
    <x v="1"/>
  </r>
  <r>
    <x v="203"/>
    <x v="131"/>
    <x v="4"/>
    <s v="Michael Brown"/>
    <x v="8"/>
    <x v="8"/>
    <x v="0"/>
    <n v="3"/>
    <x v="7"/>
    <x v="3"/>
    <s v="South"/>
    <s v="Premium"/>
    <d v="2024-01-16T00:00:00"/>
    <n v="269.97000000000003"/>
    <d v="2026-09-17T00:00:00"/>
    <d v="2026-09-17T23:10:06"/>
    <x v="2"/>
  </r>
  <r>
    <x v="204"/>
    <x v="132"/>
    <x v="48"/>
    <s v="Arthur Edwards"/>
    <x v="1"/>
    <x v="1"/>
    <x v="1"/>
    <n v="1"/>
    <x v="1"/>
    <x v="3"/>
    <s v="Central"/>
    <s v="Standard"/>
    <d v="2023-04-29T00:00:00"/>
    <n v="59.99"/>
    <d v="2026-09-17T00:00:00"/>
    <d v="2026-09-17T23:10:06"/>
    <x v="3"/>
  </r>
  <r>
    <x v="205"/>
    <x v="133"/>
    <x v="43"/>
    <s v="Ruth Brooks"/>
    <x v="2"/>
    <x v="2"/>
    <x v="2"/>
    <n v="3"/>
    <x v="2"/>
    <x v="3"/>
    <s v="North"/>
    <s v="Premium"/>
    <d v="2022-01-03T00:00:00"/>
    <n v="449.97"/>
    <d v="2026-09-17T00:00:00"/>
    <d v="2026-09-17T23:10:06"/>
    <x v="1"/>
  </r>
  <r>
    <x v="206"/>
    <x v="133"/>
    <x v="16"/>
    <s v="Virginia Sanders"/>
    <x v="6"/>
    <x v="6"/>
    <x v="2"/>
    <n v="5"/>
    <x v="5"/>
    <x v="1"/>
    <s v="South"/>
    <s v="Basic"/>
    <d v="2023-02-02T00:00:00"/>
    <n v="1499.95"/>
    <d v="2026-09-17T00:00:00"/>
    <d v="2026-09-17T23:10:06"/>
    <x v="3"/>
  </r>
  <r>
    <x v="207"/>
    <x v="134"/>
    <x v="30"/>
    <s v="Sharon Butler"/>
    <x v="1"/>
    <x v="1"/>
    <x v="1"/>
    <n v="5"/>
    <x v="1"/>
    <x v="3"/>
    <s v="Central"/>
    <s v="Standard"/>
    <d v="2023-09-08T00:00:00"/>
    <n v="299.95"/>
    <d v="2026-09-17T00:00:00"/>
    <d v="2026-09-17T23:10:06"/>
    <x v="3"/>
  </r>
  <r>
    <x v="208"/>
    <x v="135"/>
    <x v="20"/>
    <s v="Nancy Collins"/>
    <x v="7"/>
    <x v="7"/>
    <x v="1"/>
    <n v="3"/>
    <x v="6"/>
    <x v="0"/>
    <s v="East"/>
    <s v="Premium"/>
    <d v="2021-08-28T00:00:00"/>
    <n v="239.97"/>
    <d v="2026-09-17T00:00:00"/>
    <d v="2026-09-17T23:10:06"/>
    <x v="0"/>
  </r>
  <r>
    <x v="209"/>
    <x v="136"/>
    <x v="2"/>
    <s v="Kevin Scott"/>
    <x v="9"/>
    <x v="9"/>
    <x v="2"/>
    <n v="3"/>
    <x v="8"/>
    <x v="0"/>
    <s v="Central"/>
    <s v="Basic"/>
    <d v="2022-06-23T00:00:00"/>
    <n v="599.97"/>
    <d v="2026-09-17T00:00:00"/>
    <d v="2026-09-17T23:10:06"/>
    <x v="1"/>
  </r>
  <r>
    <x v="210"/>
    <x v="136"/>
    <x v="0"/>
    <s v="Paul Baker"/>
    <x v="8"/>
    <x v="8"/>
    <x v="0"/>
    <n v="2"/>
    <x v="7"/>
    <x v="2"/>
    <s v="Central"/>
    <s v="Basic"/>
    <d v="2023-11-27T00:00:00"/>
    <n v="179.98"/>
    <d v="2026-09-17T00:00:00"/>
    <d v="2026-09-17T23:10:06"/>
    <x v="2"/>
  </r>
  <r>
    <x v="211"/>
    <x v="137"/>
    <x v="45"/>
    <s v="Richard Lee"/>
    <x v="2"/>
    <x v="2"/>
    <x v="2"/>
    <n v="2"/>
    <x v="2"/>
    <x v="0"/>
    <s v="South"/>
    <s v="Premium"/>
    <d v="2022-06-16T00:00:00"/>
    <n v="299.98"/>
    <d v="2026-09-17T00:00:00"/>
    <d v="2026-09-17T23:10:06"/>
    <x v="1"/>
  </r>
  <r>
    <x v="212"/>
    <x v="138"/>
    <x v="23"/>
    <s v="Edward Mitchell"/>
    <x v="5"/>
    <x v="5"/>
    <x v="0"/>
    <n v="5"/>
    <x v="4"/>
    <x v="2"/>
    <s v="South"/>
    <s v="Premium"/>
    <d v="2024-03-01T00:00:00"/>
    <n v="3499.95"/>
    <d v="2026-09-17T00:00:00"/>
    <d v="2026-09-17T23:10:06"/>
    <x v="2"/>
  </r>
  <r>
    <x v="213"/>
    <x v="138"/>
    <x v="4"/>
    <s v="Michael Brown"/>
    <x v="2"/>
    <x v="2"/>
    <x v="2"/>
    <n v="3"/>
    <x v="2"/>
    <x v="2"/>
    <s v="Central"/>
    <s v="Standard"/>
    <d v="2022-03-13T00:00:00"/>
    <n v="449.97"/>
    <d v="2026-09-17T00:00:00"/>
    <d v="2026-09-17T23:10:06"/>
    <x v="1"/>
  </r>
  <r>
    <x v="214"/>
    <x v="139"/>
    <x v="17"/>
    <s v="Barbara Young"/>
    <x v="4"/>
    <x v="4"/>
    <x v="0"/>
    <n v="3"/>
    <x v="3"/>
    <x v="0"/>
    <s v="East"/>
    <s v="Standard"/>
    <d v="2022-02-21T00:00:00"/>
    <n v="2699.97"/>
    <d v="2026-09-17T00:00:00"/>
    <d v="2026-09-17T23:10:06"/>
    <x v="1"/>
  </r>
  <r>
    <x v="215"/>
    <x v="139"/>
    <x v="37"/>
    <s v="Frank Torres"/>
    <x v="9"/>
    <x v="9"/>
    <x v="2"/>
    <n v="3"/>
    <x v="8"/>
    <x v="0"/>
    <s v="West"/>
    <s v="Premium"/>
    <d v="2022-09-19T00:00:00"/>
    <n v="599.97"/>
    <d v="2026-09-17T00:00:00"/>
    <d v="2026-09-17T23:10:06"/>
    <x v="3"/>
  </r>
  <r>
    <x v="216"/>
    <x v="140"/>
    <x v="6"/>
    <s v="Charles Allen"/>
    <x v="6"/>
    <x v="6"/>
    <x v="2"/>
    <n v="5"/>
    <x v="5"/>
    <x v="0"/>
    <s v="West"/>
    <s v="Standard"/>
    <d v="2023-08-04T00:00:00"/>
    <n v="1499.95"/>
    <d v="2026-09-17T00:00:00"/>
    <d v="2026-09-17T23:10:06"/>
    <x v="3"/>
  </r>
  <r>
    <x v="217"/>
    <x v="140"/>
    <x v="30"/>
    <s v="Sharon Butler"/>
    <x v="5"/>
    <x v="5"/>
    <x v="0"/>
    <n v="1"/>
    <x v="4"/>
    <x v="2"/>
    <s v="West"/>
    <s v="Basic"/>
    <d v="2023-01-08T00:00:00"/>
    <n v="699.99"/>
    <d v="2026-09-17T00:00:00"/>
    <d v="2026-09-17T23:10:06"/>
    <x v="3"/>
  </r>
  <r>
    <x v="218"/>
    <x v="141"/>
    <x v="43"/>
    <s v="Ruth Brooks"/>
    <x v="5"/>
    <x v="5"/>
    <x v="0"/>
    <n v="1"/>
    <x v="4"/>
    <x v="0"/>
    <s v="North"/>
    <s v="Premium"/>
    <d v="2022-01-22T00:00:00"/>
    <n v="699.99"/>
    <d v="2026-09-17T00:00:00"/>
    <d v="2026-09-17T23:10:06"/>
    <x v="1"/>
  </r>
  <r>
    <x v="219"/>
    <x v="141"/>
    <x v="48"/>
    <s v="Arthur Edwards"/>
    <x v="2"/>
    <x v="2"/>
    <x v="2"/>
    <n v="4"/>
    <x v="2"/>
    <x v="2"/>
    <s v="North"/>
    <s v="Premium"/>
    <d v="2021-08-04T00:00:00"/>
    <n v="599.96"/>
    <d v="2026-09-17T00:00:00"/>
    <d v="2026-09-17T23:10:06"/>
    <x v="0"/>
  </r>
  <r>
    <x v="220"/>
    <x v="141"/>
    <x v="39"/>
    <s v="Elizabeth Hall"/>
    <x v="8"/>
    <x v="8"/>
    <x v="0"/>
    <n v="5"/>
    <x v="7"/>
    <x v="2"/>
    <s v="West"/>
    <s v="Premium"/>
    <d v="2023-08-02T00:00:00"/>
    <n v="449.95"/>
    <d v="2026-09-17T00:00:00"/>
    <d v="2026-09-17T23:10:06"/>
    <x v="3"/>
  </r>
  <r>
    <x v="221"/>
    <x v="142"/>
    <x v="26"/>
    <s v="Steven Turner"/>
    <x v="9"/>
    <x v="9"/>
    <x v="2"/>
    <n v="2"/>
    <x v="8"/>
    <x v="0"/>
    <s v="Central"/>
    <s v="Premium"/>
    <d v="2022-01-12T00:00:00"/>
    <n v="399.98"/>
    <d v="2026-09-17T00:00:00"/>
    <d v="2026-09-17T23:10:06"/>
    <x v="1"/>
  </r>
  <r>
    <x v="222"/>
    <x v="143"/>
    <x v="45"/>
    <s v="Richard Lee"/>
    <x v="1"/>
    <x v="1"/>
    <x v="1"/>
    <n v="4"/>
    <x v="1"/>
    <x v="0"/>
    <s v="West"/>
    <s v="Standard"/>
    <d v="2023-05-24T00:00:00"/>
    <n v="239.96"/>
    <d v="2026-09-17T00:00:00"/>
    <d v="2026-09-17T23:10:06"/>
    <x v="3"/>
  </r>
  <r>
    <x v="223"/>
    <x v="143"/>
    <x v="16"/>
    <s v="Virginia Sanders"/>
    <x v="6"/>
    <x v="6"/>
    <x v="2"/>
    <n v="2"/>
    <x v="5"/>
    <x v="2"/>
    <s v="South"/>
    <s v="Basic"/>
    <d v="2022-01-15T00:00:00"/>
    <n v="599.98"/>
    <d v="2026-09-17T00:00:00"/>
    <d v="2026-09-17T23:10:06"/>
    <x v="1"/>
  </r>
  <r>
    <x v="224"/>
    <x v="144"/>
    <x v="6"/>
    <s v="Charles Allen"/>
    <x v="2"/>
    <x v="2"/>
    <x v="2"/>
    <n v="2"/>
    <x v="2"/>
    <x v="0"/>
    <s v="Central"/>
    <s v="Basic"/>
    <d v="2023-05-22T00:00:00"/>
    <n v="299.98"/>
    <d v="2026-09-17T00:00:00"/>
    <d v="2026-09-17T23:10:06"/>
    <x v="3"/>
  </r>
  <r>
    <x v="225"/>
    <x v="145"/>
    <x v="40"/>
    <s v="Lawrence Reed"/>
    <x v="5"/>
    <x v="5"/>
    <x v="0"/>
    <n v="5"/>
    <x v="4"/>
    <x v="3"/>
    <s v="East"/>
    <s v="Premium"/>
    <d v="2023-08-23T00:00:00"/>
    <n v="3499.95"/>
    <d v="2026-09-17T00:00:00"/>
    <d v="2026-09-17T23:10:06"/>
    <x v="3"/>
  </r>
  <r>
    <x v="226"/>
    <x v="146"/>
    <x v="11"/>
    <s v="Dennis Gray"/>
    <x v="1"/>
    <x v="1"/>
    <x v="1"/>
    <n v="5"/>
    <x v="1"/>
    <x v="0"/>
    <s v="West"/>
    <s v="Premium"/>
    <d v="2023-12-31T00:00:00"/>
    <n v="299.95"/>
    <d v="2026-09-17T00:00:00"/>
    <d v="2026-09-17T23:10:06"/>
    <x v="2"/>
  </r>
  <r>
    <x v="227"/>
    <x v="147"/>
    <x v="0"/>
    <s v="Paul Baker"/>
    <x v="8"/>
    <x v="8"/>
    <x v="0"/>
    <n v="2"/>
    <x v="7"/>
    <x v="1"/>
    <s v="West"/>
    <s v="Premium"/>
    <d v="2024-01-04T00:00:00"/>
    <n v="179.98"/>
    <d v="2026-09-17T00:00:00"/>
    <d v="2026-09-17T23:10:06"/>
    <x v="2"/>
  </r>
  <r>
    <x v="228"/>
    <x v="147"/>
    <x v="22"/>
    <s v="Helen Roberts"/>
    <x v="0"/>
    <x v="0"/>
    <x v="0"/>
    <n v="5"/>
    <x v="0"/>
    <x v="0"/>
    <s v="East"/>
    <s v="Standard"/>
    <d v="2021-12-10T00:00:00"/>
    <n v="1249.95"/>
    <d v="2026-09-17T00:00:00"/>
    <d v="2026-09-17T23:10:06"/>
    <x v="1"/>
  </r>
  <r>
    <x v="229"/>
    <x v="148"/>
    <x v="40"/>
    <s v="Lawrence Reed"/>
    <x v="2"/>
    <x v="2"/>
    <x v="2"/>
    <n v="2"/>
    <x v="2"/>
    <x v="2"/>
    <s v="Central"/>
    <s v="Premium"/>
    <d v="2022-03-12T00:00:00"/>
    <n v="299.98"/>
    <d v="2026-09-17T00:00:00"/>
    <d v="2026-09-17T23:10:06"/>
    <x v="1"/>
  </r>
  <r>
    <x v="230"/>
    <x v="148"/>
    <x v="28"/>
    <s v="Harry Morgan"/>
    <x v="4"/>
    <x v="4"/>
    <x v="0"/>
    <n v="5"/>
    <x v="3"/>
    <x v="2"/>
    <s v="East"/>
    <s v="Premium"/>
    <d v="2024-04-07T00:00:00"/>
    <n v="4499.95"/>
    <d v="2026-09-17T00:00:00"/>
    <d v="2026-09-17T23:10:06"/>
    <x v="2"/>
  </r>
  <r>
    <x v="231"/>
    <x v="148"/>
    <x v="6"/>
    <s v="Charles Allen"/>
    <x v="2"/>
    <x v="2"/>
    <x v="2"/>
    <n v="4"/>
    <x v="2"/>
    <x v="0"/>
    <s v="Central"/>
    <s v="Standard"/>
    <d v="2023-12-03T00:00:00"/>
    <n v="599.96"/>
    <d v="2026-09-17T00:00:00"/>
    <d v="2026-09-17T23:10:06"/>
    <x v="2"/>
  </r>
  <r>
    <x v="232"/>
    <x v="149"/>
    <x v="28"/>
    <s v="Harry Morgan"/>
    <x v="0"/>
    <x v="0"/>
    <x v="0"/>
    <n v="1"/>
    <x v="0"/>
    <x v="0"/>
    <s v="North"/>
    <s v="Standard"/>
    <d v="2023-07-10T00:00:00"/>
    <n v="249.99"/>
    <d v="2026-09-17T00:00:00"/>
    <d v="2026-09-17T23:10:06"/>
    <x v="3"/>
  </r>
  <r>
    <x v="233"/>
    <x v="150"/>
    <x v="37"/>
    <s v="Frank Torres"/>
    <x v="1"/>
    <x v="1"/>
    <x v="1"/>
    <n v="2"/>
    <x v="1"/>
    <x v="1"/>
    <s v="West"/>
    <s v="Basic"/>
    <d v="2023-09-24T00:00:00"/>
    <n v="119.98"/>
    <d v="2026-09-17T00:00:00"/>
    <d v="2026-09-17T23:10:06"/>
    <x v="2"/>
  </r>
  <r>
    <x v="234"/>
    <x v="151"/>
    <x v="25"/>
    <s v="Emma Wilson"/>
    <x v="2"/>
    <x v="2"/>
    <x v="2"/>
    <n v="2"/>
    <x v="2"/>
    <x v="0"/>
    <s v="West"/>
    <s v="Premium"/>
    <d v="2023-11-03T00:00:00"/>
    <n v="299.98"/>
    <d v="2026-09-17T00:00:00"/>
    <d v="2026-09-17T23:10:06"/>
    <x v="2"/>
  </r>
  <r>
    <x v="235"/>
    <x v="151"/>
    <x v="30"/>
    <s v="Sharon Butler"/>
    <x v="4"/>
    <x v="4"/>
    <x v="0"/>
    <n v="3"/>
    <x v="3"/>
    <x v="3"/>
    <s v="North"/>
    <s v="Premium"/>
    <d v="2022-11-11T00:00:00"/>
    <n v="2699.97"/>
    <d v="2026-09-17T00:00:00"/>
    <d v="2026-09-17T23:10:06"/>
    <x v="3"/>
  </r>
  <r>
    <x v="236"/>
    <x v="151"/>
    <x v="5"/>
    <s v="Dorothy Nelson"/>
    <x v="4"/>
    <x v="4"/>
    <x v="0"/>
    <n v="3"/>
    <x v="3"/>
    <x v="2"/>
    <s v="North"/>
    <s v="Basic"/>
    <d v="2023-02-18T00:00:00"/>
    <n v="2699.97"/>
    <d v="2026-09-17T00:00:00"/>
    <d v="2026-09-17T23:10:06"/>
    <x v="3"/>
  </r>
  <r>
    <x v="237"/>
    <x v="152"/>
    <x v="0"/>
    <s v="Paul Baker"/>
    <x v="6"/>
    <x v="6"/>
    <x v="2"/>
    <n v="3"/>
    <x v="5"/>
    <x v="1"/>
    <s v="West"/>
    <s v="Premium"/>
    <d v="2023-11-04T00:00:00"/>
    <n v="899.97"/>
    <d v="2026-09-17T00:00:00"/>
    <d v="2026-09-17T23:10:06"/>
    <x v="2"/>
  </r>
  <r>
    <x v="238"/>
    <x v="153"/>
    <x v="49"/>
    <s v="John Smith"/>
    <x v="2"/>
    <x v="2"/>
    <x v="2"/>
    <n v="4"/>
    <x v="2"/>
    <x v="2"/>
    <s v="West"/>
    <s v="Standard"/>
    <d v="2021-12-30T00:00:00"/>
    <n v="599.96"/>
    <d v="2026-09-17T00:00:00"/>
    <d v="2026-09-17T23:10:06"/>
    <x v="1"/>
  </r>
  <r>
    <x v="239"/>
    <x v="154"/>
    <x v="19"/>
    <s v="Cynthia Price"/>
    <x v="7"/>
    <x v="7"/>
    <x v="1"/>
    <n v="4"/>
    <x v="6"/>
    <x v="1"/>
    <s v="Central"/>
    <s v="Basic"/>
    <d v="2023-12-28T00:00:00"/>
    <n v="319.95999999999998"/>
    <d v="2026-09-17T00:00:00"/>
    <d v="2026-09-17T23:10:06"/>
    <x v="2"/>
  </r>
  <r>
    <x v="240"/>
    <x v="155"/>
    <x v="36"/>
    <s v="Margaret Wright"/>
    <x v="8"/>
    <x v="8"/>
    <x v="0"/>
    <n v="5"/>
    <x v="7"/>
    <x v="2"/>
    <s v="South"/>
    <s v="Basic"/>
    <d v="2022-05-23T00:00:00"/>
    <n v="449.95"/>
    <d v="2026-09-17T00:00:00"/>
    <d v="2026-09-17T23:10:06"/>
    <x v="1"/>
  </r>
  <r>
    <x v="241"/>
    <x v="156"/>
    <x v="16"/>
    <s v="Virginia Sanders"/>
    <x v="2"/>
    <x v="2"/>
    <x v="2"/>
    <n v="3"/>
    <x v="2"/>
    <x v="2"/>
    <s v="Central"/>
    <s v="Standard"/>
    <d v="2023-09-02T00:00:00"/>
    <n v="449.97"/>
    <d v="2026-09-17T00:00:00"/>
    <d v="2026-09-17T23:10:06"/>
    <x v="3"/>
  </r>
  <r>
    <x v="242"/>
    <x v="156"/>
    <x v="8"/>
    <s v="Karen Hill"/>
    <x v="8"/>
    <x v="8"/>
    <x v="0"/>
    <n v="2"/>
    <x v="7"/>
    <x v="3"/>
    <s v="West"/>
    <s v="Premium"/>
    <d v="2021-11-22T00:00:00"/>
    <n v="179.98"/>
    <d v="2026-09-17T00:00:00"/>
    <d v="2026-09-17T23:10:06"/>
    <x v="1"/>
  </r>
  <r>
    <x v="243"/>
    <x v="157"/>
    <x v="19"/>
    <s v="Cynthia Price"/>
    <x v="5"/>
    <x v="5"/>
    <x v="0"/>
    <n v="2"/>
    <x v="4"/>
    <x v="2"/>
    <s v="North"/>
    <s v="Standard"/>
    <d v="2022-02-26T00:00:00"/>
    <n v="1399.98"/>
    <d v="2026-09-17T00:00:00"/>
    <d v="2026-09-17T23:10:06"/>
    <x v="1"/>
  </r>
  <r>
    <x v="244"/>
    <x v="158"/>
    <x v="23"/>
    <s v="Edward Mitchell"/>
    <x v="4"/>
    <x v="4"/>
    <x v="0"/>
    <n v="3"/>
    <x v="3"/>
    <x v="0"/>
    <s v="Central"/>
    <s v="Standard"/>
    <d v="2023-01-27T00:00:00"/>
    <n v="2699.97"/>
    <d v="2026-09-17T00:00:00"/>
    <d v="2026-09-17T23:10:06"/>
    <x v="3"/>
  </r>
  <r>
    <x v="245"/>
    <x v="159"/>
    <x v="16"/>
    <s v="Virginia Sanders"/>
    <x v="7"/>
    <x v="7"/>
    <x v="1"/>
    <n v="3"/>
    <x v="6"/>
    <x v="1"/>
    <s v="North"/>
    <s v="Basic"/>
    <d v="2021-11-11T00:00:00"/>
    <n v="239.97"/>
    <d v="2026-09-17T00:00:00"/>
    <d v="2026-09-17T23:10:06"/>
    <x v="1"/>
  </r>
  <r>
    <x v="246"/>
    <x v="160"/>
    <x v="7"/>
    <s v="Robert Thomas"/>
    <x v="8"/>
    <x v="8"/>
    <x v="0"/>
    <n v="1"/>
    <x v="7"/>
    <x v="3"/>
    <s v="East"/>
    <s v="Basic"/>
    <d v="2024-02-24T00:00:00"/>
    <n v="89.99"/>
    <d v="2026-09-17T00:00:00"/>
    <d v="2026-09-17T23:10:06"/>
    <x v="2"/>
  </r>
  <r>
    <x v="247"/>
    <x v="161"/>
    <x v="46"/>
    <s v="Douglas Watson"/>
    <x v="5"/>
    <x v="5"/>
    <x v="0"/>
    <n v="3"/>
    <x v="4"/>
    <x v="2"/>
    <s v="North"/>
    <s v="Basic"/>
    <d v="2022-12-14T00:00:00"/>
    <n v="2099.9699999999998"/>
    <d v="2026-09-17T00:00:00"/>
    <d v="2026-09-17T23:10:06"/>
    <x v="3"/>
  </r>
  <r>
    <x v="248"/>
    <x v="161"/>
    <x v="40"/>
    <s v="Lawrence Reed"/>
    <x v="8"/>
    <x v="8"/>
    <x v="0"/>
    <n v="2"/>
    <x v="7"/>
    <x v="3"/>
    <s v="East"/>
    <s v="Basic"/>
    <d v="2023-06-11T00:00:00"/>
    <n v="179.98"/>
    <d v="2026-09-17T00:00:00"/>
    <d v="2026-09-17T23:10:06"/>
    <x v="3"/>
  </r>
  <r>
    <x v="249"/>
    <x v="161"/>
    <x v="26"/>
    <s v="Steven Turner"/>
    <x v="8"/>
    <x v="8"/>
    <x v="0"/>
    <n v="3"/>
    <x v="7"/>
    <x v="3"/>
    <s v="North"/>
    <s v="Premium"/>
    <d v="2022-11-13T00:00:00"/>
    <n v="269.97000000000003"/>
    <d v="2026-09-17T00:00:00"/>
    <d v="2026-09-17T23:10:06"/>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1ECD5E-C22B-4E90-B9F7-88ECEAE0003F}" name="PivotTable12"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G2:R3" firstHeaderRow="0" firstDataRow="1"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axis="axisCol" dataField="1" showAll="0">
      <items count="11">
        <item x="4"/>
        <item x="5"/>
        <item x="3"/>
        <item x="7"/>
        <item x="1"/>
        <item x="9"/>
        <item x="6"/>
        <item x="2"/>
        <item x="0"/>
        <item x="8"/>
        <item t="default"/>
      </items>
    </pivotField>
    <pivotField showAll="0"/>
    <pivotField showAll="0">
      <items count="4">
        <item x="1"/>
        <item x="0"/>
        <item x="2"/>
        <item t="default"/>
      </items>
    </pivotField>
    <pivotField showAll="0"/>
    <pivotField numFmtId="165" showAll="0"/>
    <pivotField showAll="0"/>
    <pivotField showAll="0"/>
    <pivotField showAll="0"/>
    <pivotField numFmtId="14" showAll="0"/>
    <pivotField numFmtId="165" showAll="0"/>
    <pivotField numFmtId="14" showAll="0"/>
    <pivotField numFmtId="164"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s>
  <rowItems count="1">
    <i/>
  </rowItems>
  <colFields count="1">
    <field x="4"/>
  </colFields>
  <colItems count="11">
    <i>
      <x/>
    </i>
    <i>
      <x v="1"/>
    </i>
    <i>
      <x v="2"/>
    </i>
    <i>
      <x v="3"/>
    </i>
    <i>
      <x v="4"/>
    </i>
    <i>
      <x v="5"/>
    </i>
    <i>
      <x v="6"/>
    </i>
    <i>
      <x v="7"/>
    </i>
    <i>
      <x v="8"/>
    </i>
    <i>
      <x v="9"/>
    </i>
    <i t="grand">
      <x/>
    </i>
  </colItems>
  <dataFields count="1">
    <dataField name="Count of Product_ID" fld="4" subtotal="count" baseField="0" baseItem="0"/>
  </dataFields>
  <formats count="6">
    <format dxfId="9">
      <pivotArea type="all" dataOnly="0" outline="0" fieldPosition="0"/>
    </format>
    <format dxfId="8">
      <pivotArea outline="0" collapsedLevelsAreSubtotals="1" fieldPosition="0"/>
    </format>
    <format dxfId="7">
      <pivotArea type="origin" dataOnly="0" labelOnly="1" outline="0" fieldPosition="0"/>
    </format>
    <format dxfId="6">
      <pivotArea dataOnly="0" labelOnly="1" outline="0" axis="axisValues" fieldPosition="0"/>
    </format>
    <format dxfId="5">
      <pivotArea type="all" dataOnly="0" outline="0" fieldPosition="0"/>
    </format>
    <format dxfId="4">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939FCC-3BD4-42CE-8A88-E8167AC020E5}" name="PivotTable1"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7">
  <location ref="H24:M41" firstHeaderRow="1" firstDataRow="2"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items count="11">
        <item x="1"/>
        <item x="2"/>
        <item x="7"/>
        <item x="6"/>
        <item x="3"/>
        <item x="8"/>
        <item x="4"/>
        <item x="0"/>
        <item x="9"/>
        <item x="5"/>
        <item t="default"/>
      </items>
    </pivotField>
    <pivotField showAll="0">
      <items count="4">
        <item x="1"/>
        <item x="0"/>
        <item x="2"/>
        <item t="default"/>
      </items>
    </pivotField>
    <pivotField showAll="0"/>
    <pivotField numFmtId="165" showAll="0">
      <items count="10">
        <item x="1"/>
        <item x="6"/>
        <item x="7"/>
        <item x="2"/>
        <item x="8"/>
        <item x="0"/>
        <item x="5"/>
        <item x="4"/>
        <item x="3"/>
        <item t="default"/>
      </items>
    </pivotField>
    <pivotField axis="axisCol" dataField="1" showAll="0">
      <items count="5">
        <item x="0"/>
        <item x="1"/>
        <item x="3"/>
        <item x="2"/>
        <item t="default"/>
      </items>
    </pivotField>
    <pivotField showAll="0"/>
    <pivotField showAll="0"/>
    <pivotField numFmtId="14" showAll="0"/>
    <pivotField numFmtId="165" showAll="0"/>
    <pivotField numFmtId="14" showAll="0"/>
    <pivotField numFmtId="164" showAll="0"/>
    <pivotField showAll="0">
      <items count="5">
        <item x="2"/>
        <item x="3"/>
        <item x="1"/>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3">
    <field x="19"/>
    <field x="17"/>
    <field x="1"/>
  </rowFields>
  <rowItems count="16">
    <i>
      <x v="1"/>
    </i>
    <i r="1">
      <x v="4"/>
    </i>
    <i r="1">
      <x v="5"/>
    </i>
    <i r="1">
      <x v="6"/>
    </i>
    <i r="1">
      <x v="7"/>
    </i>
    <i r="1">
      <x v="8"/>
    </i>
    <i r="1">
      <x v="9"/>
    </i>
    <i r="1">
      <x v="10"/>
    </i>
    <i r="1">
      <x v="11"/>
    </i>
    <i r="1">
      <x v="12"/>
    </i>
    <i>
      <x v="2"/>
    </i>
    <i r="1">
      <x v="1"/>
    </i>
    <i r="1">
      <x v="2"/>
    </i>
    <i r="1">
      <x v="3"/>
    </i>
    <i r="1">
      <x v="4"/>
    </i>
    <i t="grand">
      <x/>
    </i>
  </rowItems>
  <colFields count="1">
    <field x="9"/>
  </colFields>
  <colItems count="5">
    <i>
      <x/>
    </i>
    <i>
      <x v="1"/>
    </i>
    <i>
      <x v="2"/>
    </i>
    <i>
      <x v="3"/>
    </i>
    <i t="grand">
      <x/>
    </i>
  </colItems>
  <dataFields count="1">
    <dataField name="Count of Payment_Method" fld="9" subtotal="count" baseField="0" baseItem="0"/>
  </dataFields>
  <formats count="12">
    <format dxfId="21">
      <pivotArea type="all" dataOnly="0" outline="0" fieldPosition="0"/>
    </format>
    <format dxfId="20">
      <pivotArea outline="0" collapsedLevelsAreSubtotals="1" fieldPosition="0"/>
    </format>
    <format dxfId="19">
      <pivotArea type="origin" dataOnly="0" labelOnly="1" outline="0"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type="origin" dataOnly="0" labelOnly="1" outline="0"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type="origin" dataOnly="0" labelOnly="1" outline="0" fieldPosition="0"/>
    </format>
    <format dxfId="10">
      <pivotArea dataOnly="0" labelOnly="1" outline="0" axis="axisValues" fieldPosition="0"/>
    </format>
  </formats>
  <chartFormats count="8">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6" format="8" series="1">
      <pivotArea type="data" outline="0" fieldPosition="0">
        <references count="2">
          <reference field="4294967294" count="1" selected="0">
            <x v="0"/>
          </reference>
          <reference field="9" count="1" selected="0">
            <x v="0"/>
          </reference>
        </references>
      </pivotArea>
    </chartFormat>
    <chartFormat chart="6" format="9" series="1">
      <pivotArea type="data" outline="0" fieldPosition="0">
        <references count="2">
          <reference field="4294967294" count="1" selected="0">
            <x v="0"/>
          </reference>
          <reference field="9" count="1" selected="0">
            <x v="1"/>
          </reference>
        </references>
      </pivotArea>
    </chartFormat>
    <chartFormat chart="6" format="10" series="1">
      <pivotArea type="data" outline="0" fieldPosition="0">
        <references count="2">
          <reference field="4294967294" count="1" selected="0">
            <x v="0"/>
          </reference>
          <reference field="9" count="1" selected="0">
            <x v="2"/>
          </reference>
        </references>
      </pivotArea>
    </chartFormat>
    <chartFormat chart="6" format="11" series="1">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445AFA-97C7-4E5A-894D-D590A7C12DCA}" name="PivotTable11"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6">
  <location ref="A2:E19" firstHeaderRow="1" firstDataRow="2" firstDataCol="1"/>
  <pivotFields count="20">
    <pivotField axis="axisRow"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dataField="1" showAll="0"/>
    <pivotField axis="axisCol" showAll="0">
      <items count="4">
        <item x="1"/>
        <item x="0"/>
        <item x="2"/>
        <item t="default"/>
      </items>
    </pivotField>
    <pivotField showAll="0"/>
    <pivotField numFmtId="165" showAll="0"/>
    <pivotField showAll="0"/>
    <pivotField showAll="0"/>
    <pivotField showAll="0"/>
    <pivotField numFmtId="14" showAll="0"/>
    <pivotField numFmtId="165" showAll="0"/>
    <pivotField numFmtId="14" showAll="0"/>
    <pivotField numFmtId="164"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4">
    <field x="19"/>
    <field x="17"/>
    <field x="1"/>
    <field x="0"/>
  </rowFields>
  <rowItems count="16">
    <i>
      <x v="1"/>
    </i>
    <i r="1">
      <x v="4"/>
    </i>
    <i r="1">
      <x v="5"/>
    </i>
    <i r="1">
      <x v="6"/>
    </i>
    <i r="1">
      <x v="7"/>
    </i>
    <i r="1">
      <x v="8"/>
    </i>
    <i r="1">
      <x v="9"/>
    </i>
    <i r="1">
      <x v="10"/>
    </i>
    <i r="1">
      <x v="11"/>
    </i>
    <i r="1">
      <x v="12"/>
    </i>
    <i>
      <x v="2"/>
    </i>
    <i r="1">
      <x v="1"/>
    </i>
    <i r="1">
      <x v="2"/>
    </i>
    <i r="1">
      <x v="3"/>
    </i>
    <i r="1">
      <x v="4"/>
    </i>
    <i t="grand">
      <x/>
    </i>
  </rowItems>
  <colFields count="1">
    <field x="6"/>
  </colFields>
  <colItems count="4">
    <i>
      <x/>
    </i>
    <i>
      <x v="1"/>
    </i>
    <i>
      <x v="2"/>
    </i>
    <i t="grand">
      <x/>
    </i>
  </colItems>
  <dataFields count="1">
    <dataField name="Count of Product_Name" fld="5" subtotal="count" baseField="0" baseItem="0"/>
  </dataFields>
  <formats count="4">
    <format dxfId="25">
      <pivotArea type="all" dataOnly="0" outline="0" fieldPosition="0"/>
    </format>
    <format dxfId="24">
      <pivotArea outline="0" collapsedLevelsAreSubtotals="1" fieldPosition="0"/>
    </format>
    <format dxfId="23">
      <pivotArea type="origin" dataOnly="0" labelOnly="1" outline="0" fieldPosition="0"/>
    </format>
    <format dxfId="22">
      <pivotArea dataOnly="0" labelOnly="1" outline="0" axis="axisValues" fieldPosition="0"/>
    </format>
  </formats>
  <chartFormats count="12">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1" format="3" series="1">
      <pivotArea type="data" outline="0" fieldPosition="0">
        <references count="2">
          <reference field="4294967294" count="1" selected="0">
            <x v="0"/>
          </reference>
          <reference field="6" count="1" selected="0">
            <x v="0"/>
          </reference>
        </references>
      </pivotArea>
    </chartFormat>
    <chartFormat chart="1" format="4" series="1">
      <pivotArea type="data" outline="0" fieldPosition="0">
        <references count="2">
          <reference field="4294967294" count="1" selected="0">
            <x v="0"/>
          </reference>
          <reference field="6" count="1" selected="0">
            <x v="1"/>
          </reference>
        </references>
      </pivotArea>
    </chartFormat>
    <chartFormat chart="1" format="5" series="1">
      <pivotArea type="data" outline="0" fieldPosition="0">
        <references count="2">
          <reference field="4294967294" count="1" selected="0">
            <x v="0"/>
          </reference>
          <reference field="6" count="1" selected="0">
            <x v="2"/>
          </reference>
        </references>
      </pivotArea>
    </chartFormat>
    <chartFormat chart="2" format="6" series="1">
      <pivotArea type="data" outline="0" fieldPosition="0">
        <references count="2">
          <reference field="4294967294" count="1" selected="0">
            <x v="0"/>
          </reference>
          <reference field="6" count="1" selected="0">
            <x v="0"/>
          </reference>
        </references>
      </pivotArea>
    </chartFormat>
    <chartFormat chart="2" format="7" series="1">
      <pivotArea type="data" outline="0" fieldPosition="0">
        <references count="2">
          <reference field="4294967294" count="1" selected="0">
            <x v="0"/>
          </reference>
          <reference field="6" count="1" selected="0">
            <x v="1"/>
          </reference>
        </references>
      </pivotArea>
    </chartFormat>
    <chartFormat chart="2" format="8" series="1">
      <pivotArea type="data" outline="0" fieldPosition="0">
        <references count="2">
          <reference field="4294967294" count="1" selected="0">
            <x v="0"/>
          </reference>
          <reference field="6" count="1" selected="0">
            <x v="2"/>
          </reference>
        </references>
      </pivotArea>
    </chartFormat>
    <chartFormat chart="3" format="6" series="1">
      <pivotArea type="data" outline="0" fieldPosition="0">
        <references count="2">
          <reference field="4294967294" count="1" selected="0">
            <x v="0"/>
          </reference>
          <reference field="6" count="1" selected="0">
            <x v="0"/>
          </reference>
        </references>
      </pivotArea>
    </chartFormat>
    <chartFormat chart="3" format="7" series="1">
      <pivotArea type="data" outline="0" fieldPosition="0">
        <references count="2">
          <reference field="4294967294" count="1" selected="0">
            <x v="0"/>
          </reference>
          <reference field="6" count="1" selected="0">
            <x v="1"/>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022BB6-94E4-459A-9FA8-51A22B0EBC25}" name="PivotTable16"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L10:M21" firstHeaderRow="1" firstDataRow="1"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items count="11">
        <item x="1"/>
        <item x="2"/>
        <item x="7"/>
        <item x="6"/>
        <item x="3"/>
        <item x="8"/>
        <item x="4"/>
        <item x="0"/>
        <item x="9"/>
        <item x="5"/>
        <item t="default"/>
      </items>
    </pivotField>
    <pivotField showAll="0">
      <items count="4">
        <item x="1"/>
        <item x="0"/>
        <item x="2"/>
        <item t="default"/>
      </items>
    </pivotField>
    <pivotField showAll="0"/>
    <pivotField numFmtId="165" showAll="0">
      <items count="10">
        <item x="1"/>
        <item x="6"/>
        <item x="7"/>
        <item x="2"/>
        <item x="8"/>
        <item x="0"/>
        <item x="5"/>
        <item x="4"/>
        <item x="3"/>
        <item t="default"/>
      </items>
    </pivotField>
    <pivotField showAll="0"/>
    <pivotField showAll="0"/>
    <pivotField showAll="0"/>
    <pivotField numFmtId="14" showAll="0"/>
    <pivotField dataField="1" numFmtId="165" showAll="0"/>
    <pivotField numFmtId="14" showAll="0"/>
    <pivotField numFmtId="164" showAll="0"/>
    <pivotField showAll="0">
      <items count="5">
        <item x="2"/>
        <item x="3"/>
        <item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s>
  <rowFields count="1">
    <field x="5"/>
  </rowFields>
  <rowItems count="11">
    <i>
      <x/>
    </i>
    <i>
      <x v="1"/>
    </i>
    <i>
      <x v="2"/>
    </i>
    <i>
      <x v="3"/>
    </i>
    <i>
      <x v="4"/>
    </i>
    <i>
      <x v="5"/>
    </i>
    <i>
      <x v="6"/>
    </i>
    <i>
      <x v="7"/>
    </i>
    <i>
      <x v="8"/>
    </i>
    <i>
      <x v="9"/>
    </i>
    <i t="grand">
      <x/>
    </i>
  </rowItems>
  <colItems count="1">
    <i/>
  </colItems>
  <dataFields count="1">
    <dataField name="Sum of Total_Amount" fld="13" baseField="0" baseItem="0" numFmtId="165"/>
  </dataFields>
  <formats count="12">
    <format dxfId="37">
      <pivotArea type="all" dataOnly="0" outline="0" fieldPosition="0"/>
    </format>
    <format dxfId="36">
      <pivotArea outline="0" collapsedLevelsAreSubtotals="1" fieldPosition="0"/>
    </format>
    <format dxfId="35">
      <pivotArea type="origin" dataOnly="0" labelOnly="1" outline="0" fieldPosition="0"/>
    </format>
    <format dxfId="34">
      <pivotArea dataOnly="0" labelOnly="1" outline="0" axis="axisValues" fieldPosition="0"/>
    </format>
    <format dxfId="33">
      <pivotArea type="all" dataOnly="0" outline="0" fieldPosition="0"/>
    </format>
    <format dxfId="32">
      <pivotArea outline="0" collapsedLevelsAreSubtotals="1" fieldPosition="0"/>
    </format>
    <format dxfId="31">
      <pivotArea type="origin" dataOnly="0" labelOnly="1" outline="0" fieldPosition="0"/>
    </format>
    <format dxfId="30">
      <pivotArea dataOnly="0" labelOnly="1" outline="0" axis="axisValues" fieldPosition="0"/>
    </format>
    <format dxfId="29">
      <pivotArea type="all" dataOnly="0" outline="0" fieldPosition="0"/>
    </format>
    <format dxfId="28">
      <pivotArea outline="0" collapsedLevelsAreSubtotals="1" fieldPosition="0"/>
    </format>
    <format dxfId="27">
      <pivotArea type="origin" dataOnly="0" labelOnly="1" outline="0" fieldPosition="0"/>
    </format>
    <format dxfId="2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C6A4B3-6D76-437B-9C39-61F2023CB78B}" name="PivotTable13"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G6:L7" firstHeaderRow="0" firstDataRow="1"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numFmtId="165" showAll="0"/>
    <pivotField showAll="0"/>
    <pivotField showAll="0"/>
    <pivotField showAll="0"/>
    <pivotField numFmtId="14" showAll="0"/>
    <pivotField numFmtId="165" showAll="0"/>
    <pivotField numFmtId="14" showAll="0"/>
    <pivotField numFmtId="164" showAll="0"/>
    <pivotField axis="axisCol" dataField="1" showAll="0">
      <items count="5">
        <item x="2"/>
        <item x="3"/>
        <item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s>
  <rowItems count="1">
    <i/>
  </rowItems>
  <colFields count="1">
    <field x="16"/>
  </colFields>
  <colItems count="5">
    <i>
      <x/>
    </i>
    <i>
      <x v="1"/>
    </i>
    <i>
      <x v="2"/>
    </i>
    <i>
      <x v="3"/>
    </i>
    <i t="grand">
      <x/>
    </i>
  </colItems>
  <dataFields count="1">
    <dataField name="Sum of Customer Tenure(Years)" fld="16" baseField="0" baseItem="0"/>
  </dataFields>
  <formats count="12">
    <format dxfId="49">
      <pivotArea type="all" dataOnly="0" outline="0" fieldPosition="0"/>
    </format>
    <format dxfId="48">
      <pivotArea outline="0" collapsedLevelsAreSubtotals="1" fieldPosition="0"/>
    </format>
    <format dxfId="47">
      <pivotArea type="origin" dataOnly="0" labelOnly="1" outline="0" fieldPosition="0"/>
    </format>
    <format dxfId="46">
      <pivotArea dataOnly="0" labelOnly="1" outline="0" axis="axisValues" fieldPosition="0"/>
    </format>
    <format dxfId="45">
      <pivotArea type="all" dataOnly="0" outline="0" fieldPosition="0"/>
    </format>
    <format dxfId="44">
      <pivotArea outline="0" collapsedLevelsAreSubtotals="1" fieldPosition="0"/>
    </format>
    <format dxfId="43">
      <pivotArea type="origin" dataOnly="0" labelOnly="1" outline="0"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9BD8333-4538-4EDC-96F7-2366394C534E}" name="PivotTable15"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8">
  <location ref="G9:H20" firstHeaderRow="1" firstDataRow="1"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items count="11">
        <item x="1"/>
        <item x="2"/>
        <item x="7"/>
        <item x="6"/>
        <item x="3"/>
        <item x="8"/>
        <item x="4"/>
        <item x="0"/>
        <item x="9"/>
        <item x="5"/>
        <item t="default"/>
      </items>
    </pivotField>
    <pivotField showAll="0">
      <items count="4">
        <item x="1"/>
        <item x="0"/>
        <item x="2"/>
        <item t="default"/>
      </items>
    </pivotField>
    <pivotField dataField="1" showAll="0"/>
    <pivotField numFmtId="165" showAll="0">
      <items count="10">
        <item x="1"/>
        <item x="6"/>
        <item x="7"/>
        <item x="2"/>
        <item x="8"/>
        <item x="0"/>
        <item x="5"/>
        <item x="4"/>
        <item x="3"/>
        <item t="default"/>
      </items>
    </pivotField>
    <pivotField showAll="0"/>
    <pivotField showAll="0"/>
    <pivotField showAll="0"/>
    <pivotField numFmtId="14" showAll="0"/>
    <pivotField numFmtId="165" showAll="0"/>
    <pivotField numFmtId="14" showAll="0"/>
    <pivotField numFmtId="164" showAll="0"/>
    <pivotField showAll="0">
      <items count="5">
        <item x="2"/>
        <item x="3"/>
        <item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s>
  <rowFields count="1">
    <field x="5"/>
  </rowFields>
  <rowItems count="11">
    <i>
      <x/>
    </i>
    <i>
      <x v="1"/>
    </i>
    <i>
      <x v="2"/>
    </i>
    <i>
      <x v="3"/>
    </i>
    <i>
      <x v="4"/>
    </i>
    <i>
      <x v="5"/>
    </i>
    <i>
      <x v="6"/>
    </i>
    <i>
      <x v="7"/>
    </i>
    <i>
      <x v="8"/>
    </i>
    <i>
      <x v="9"/>
    </i>
    <i t="grand">
      <x/>
    </i>
  </rowItems>
  <colItems count="1">
    <i/>
  </colItems>
  <dataFields count="1">
    <dataField name="Sum of Quantity" fld="7" baseField="0" baseItem="0"/>
  </dataFields>
  <formats count="12">
    <format dxfId="61">
      <pivotArea type="all" dataOnly="0" outline="0" fieldPosition="0"/>
    </format>
    <format dxfId="60">
      <pivotArea outline="0" collapsedLevelsAreSubtotals="1" fieldPosition="0"/>
    </format>
    <format dxfId="59">
      <pivotArea type="origin" dataOnly="0" labelOnly="1" outline="0"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type="origin" dataOnly="0" labelOnly="1" outline="0"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type="origin" dataOnly="0" labelOnly="1" outline="0" fieldPosition="0"/>
    </format>
    <format dxfId="50">
      <pivotArea dataOnly="0" labelOnly="1" outline="0" axis="axisValues" fieldPosition="0"/>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5" count="1" selected="0">
            <x v="0"/>
          </reference>
        </references>
      </pivotArea>
    </chartFormat>
    <chartFormat chart="2" format="2">
      <pivotArea type="data" outline="0" fieldPosition="0">
        <references count="2">
          <reference field="4294967294" count="1" selected="0">
            <x v="0"/>
          </reference>
          <reference field="5" count="1" selected="0">
            <x v="1"/>
          </reference>
        </references>
      </pivotArea>
    </chartFormat>
    <chartFormat chart="2" format="3">
      <pivotArea type="data" outline="0" fieldPosition="0">
        <references count="2">
          <reference field="4294967294" count="1" selected="0">
            <x v="0"/>
          </reference>
          <reference field="5" count="1" selected="0">
            <x v="2"/>
          </reference>
        </references>
      </pivotArea>
    </chartFormat>
    <chartFormat chart="2" format="4">
      <pivotArea type="data" outline="0" fieldPosition="0">
        <references count="2">
          <reference field="4294967294" count="1" selected="0">
            <x v="0"/>
          </reference>
          <reference field="5" count="1" selected="0">
            <x v="3"/>
          </reference>
        </references>
      </pivotArea>
    </chartFormat>
    <chartFormat chart="2" format="5">
      <pivotArea type="data" outline="0" fieldPosition="0">
        <references count="2">
          <reference field="4294967294" count="1" selected="0">
            <x v="0"/>
          </reference>
          <reference field="5" count="1" selected="0">
            <x v="4"/>
          </reference>
        </references>
      </pivotArea>
    </chartFormat>
    <chartFormat chart="2" format="6">
      <pivotArea type="data" outline="0" fieldPosition="0">
        <references count="2">
          <reference field="4294967294" count="1" selected="0">
            <x v="0"/>
          </reference>
          <reference field="5" count="1" selected="0">
            <x v="5"/>
          </reference>
        </references>
      </pivotArea>
    </chartFormat>
    <chartFormat chart="2" format="7">
      <pivotArea type="data" outline="0" fieldPosition="0">
        <references count="2">
          <reference field="4294967294" count="1" selected="0">
            <x v="0"/>
          </reference>
          <reference field="5" count="1" selected="0">
            <x v="6"/>
          </reference>
        </references>
      </pivotArea>
    </chartFormat>
    <chartFormat chart="2" format="8">
      <pivotArea type="data" outline="0" fieldPosition="0">
        <references count="2">
          <reference field="4294967294" count="1" selected="0">
            <x v="0"/>
          </reference>
          <reference field="5" count="1" selected="0">
            <x v="7"/>
          </reference>
        </references>
      </pivotArea>
    </chartFormat>
    <chartFormat chart="2" format="9">
      <pivotArea type="data" outline="0" fieldPosition="0">
        <references count="2">
          <reference field="4294967294" count="1" selected="0">
            <x v="0"/>
          </reference>
          <reference field="5" count="1" selected="0">
            <x v="8"/>
          </reference>
        </references>
      </pivotArea>
    </chartFormat>
    <chartFormat chart="2" format="10">
      <pivotArea type="data" outline="0" fieldPosition="0">
        <references count="2">
          <reference field="4294967294" count="1" selected="0">
            <x v="0"/>
          </reference>
          <reference field="5" count="1" selected="0">
            <x v="9"/>
          </reference>
        </references>
      </pivotArea>
    </chartFormat>
    <chartFormat chart="7" format="22" series="1">
      <pivotArea type="data" outline="0" fieldPosition="0">
        <references count="1">
          <reference field="4294967294" count="1" selected="0">
            <x v="0"/>
          </reference>
        </references>
      </pivotArea>
    </chartFormat>
    <chartFormat chart="7" format="23">
      <pivotArea type="data" outline="0" fieldPosition="0">
        <references count="2">
          <reference field="4294967294" count="1" selected="0">
            <x v="0"/>
          </reference>
          <reference field="5" count="1" selected="0">
            <x v="0"/>
          </reference>
        </references>
      </pivotArea>
    </chartFormat>
    <chartFormat chart="7" format="24">
      <pivotArea type="data" outline="0" fieldPosition="0">
        <references count="2">
          <reference field="4294967294" count="1" selected="0">
            <x v="0"/>
          </reference>
          <reference field="5" count="1" selected="0">
            <x v="1"/>
          </reference>
        </references>
      </pivotArea>
    </chartFormat>
    <chartFormat chart="7" format="25">
      <pivotArea type="data" outline="0" fieldPosition="0">
        <references count="2">
          <reference field="4294967294" count="1" selected="0">
            <x v="0"/>
          </reference>
          <reference field="5" count="1" selected="0">
            <x v="2"/>
          </reference>
        </references>
      </pivotArea>
    </chartFormat>
    <chartFormat chart="7" format="26">
      <pivotArea type="data" outline="0" fieldPosition="0">
        <references count="2">
          <reference field="4294967294" count="1" selected="0">
            <x v="0"/>
          </reference>
          <reference field="5" count="1" selected="0">
            <x v="3"/>
          </reference>
        </references>
      </pivotArea>
    </chartFormat>
    <chartFormat chart="7" format="27">
      <pivotArea type="data" outline="0" fieldPosition="0">
        <references count="2">
          <reference field="4294967294" count="1" selected="0">
            <x v="0"/>
          </reference>
          <reference field="5" count="1" selected="0">
            <x v="4"/>
          </reference>
        </references>
      </pivotArea>
    </chartFormat>
    <chartFormat chart="7" format="28">
      <pivotArea type="data" outline="0" fieldPosition="0">
        <references count="2">
          <reference field="4294967294" count="1" selected="0">
            <x v="0"/>
          </reference>
          <reference field="5" count="1" selected="0">
            <x v="5"/>
          </reference>
        </references>
      </pivotArea>
    </chartFormat>
    <chartFormat chart="7" format="29">
      <pivotArea type="data" outline="0" fieldPosition="0">
        <references count="2">
          <reference field="4294967294" count="1" selected="0">
            <x v="0"/>
          </reference>
          <reference field="5" count="1" selected="0">
            <x v="6"/>
          </reference>
        </references>
      </pivotArea>
    </chartFormat>
    <chartFormat chart="7" format="30">
      <pivotArea type="data" outline="0" fieldPosition="0">
        <references count="2">
          <reference field="4294967294" count="1" selected="0">
            <x v="0"/>
          </reference>
          <reference field="5" count="1" selected="0">
            <x v="7"/>
          </reference>
        </references>
      </pivotArea>
    </chartFormat>
    <chartFormat chart="7" format="31">
      <pivotArea type="data" outline="0" fieldPosition="0">
        <references count="2">
          <reference field="4294967294" count="1" selected="0">
            <x v="0"/>
          </reference>
          <reference field="5" count="1" selected="0">
            <x v="8"/>
          </reference>
        </references>
      </pivotArea>
    </chartFormat>
    <chartFormat chart="7" format="32">
      <pivotArea type="data" outline="0" fieldPosition="0">
        <references count="2">
          <reference field="4294967294" count="1" selected="0">
            <x v="0"/>
          </reference>
          <reference field="5"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201D23D-6AF2-402B-90DF-5DEC0DAA7076}" name="PivotTable17"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24:F41" firstHeaderRow="1" firstDataRow="2"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items count="11">
        <item x="1"/>
        <item x="2"/>
        <item x="7"/>
        <item x="6"/>
        <item x="3"/>
        <item x="8"/>
        <item x="4"/>
        <item x="0"/>
        <item x="9"/>
        <item x="5"/>
        <item t="default"/>
      </items>
    </pivotField>
    <pivotField axis="axisCol" showAll="0">
      <items count="4">
        <item x="1"/>
        <item x="0"/>
        <item x="2"/>
        <item t="default"/>
      </items>
    </pivotField>
    <pivotField showAll="0"/>
    <pivotField numFmtId="165" showAll="0">
      <items count="10">
        <item x="1"/>
        <item x="6"/>
        <item x="7"/>
        <item x="2"/>
        <item x="8"/>
        <item x="0"/>
        <item x="5"/>
        <item x="4"/>
        <item x="3"/>
        <item t="default"/>
      </items>
    </pivotField>
    <pivotField showAll="0"/>
    <pivotField showAll="0"/>
    <pivotField showAll="0"/>
    <pivotField numFmtId="14" showAll="0"/>
    <pivotField dataField="1" numFmtId="165" showAll="0"/>
    <pivotField numFmtId="14" showAll="0"/>
    <pivotField numFmtId="164" showAll="0"/>
    <pivotField showAll="0">
      <items count="5">
        <item x="2"/>
        <item x="3"/>
        <item x="1"/>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3">
    <field x="19"/>
    <field x="17"/>
    <field x="1"/>
  </rowFields>
  <rowItems count="16">
    <i>
      <x v="1"/>
    </i>
    <i r="1">
      <x v="4"/>
    </i>
    <i r="1">
      <x v="5"/>
    </i>
    <i r="1">
      <x v="6"/>
    </i>
    <i r="1">
      <x v="7"/>
    </i>
    <i r="1">
      <x v="8"/>
    </i>
    <i r="1">
      <x v="9"/>
    </i>
    <i r="1">
      <x v="10"/>
    </i>
    <i r="1">
      <x v="11"/>
    </i>
    <i r="1">
      <x v="12"/>
    </i>
    <i>
      <x v="2"/>
    </i>
    <i r="1">
      <x v="1"/>
    </i>
    <i r="1">
      <x v="2"/>
    </i>
    <i r="1">
      <x v="3"/>
    </i>
    <i r="1">
      <x v="4"/>
    </i>
    <i t="grand">
      <x/>
    </i>
  </rowItems>
  <colFields count="1">
    <field x="6"/>
  </colFields>
  <colItems count="4">
    <i>
      <x/>
    </i>
    <i>
      <x v="1"/>
    </i>
    <i>
      <x v="2"/>
    </i>
    <i t="grand">
      <x/>
    </i>
  </colItems>
  <dataFields count="1">
    <dataField name="Sum of Total_Amount" fld="13" baseField="0" baseItem="0" numFmtId="165"/>
  </dataFields>
  <formats count="12">
    <format dxfId="73">
      <pivotArea type="all" dataOnly="0" outline="0" fieldPosition="0"/>
    </format>
    <format dxfId="72">
      <pivotArea outline="0" collapsedLevelsAreSubtotals="1" fieldPosition="0"/>
    </format>
    <format dxfId="71">
      <pivotArea type="origin" dataOnly="0" labelOnly="1" outline="0" fieldPosition="0"/>
    </format>
    <format dxfId="70">
      <pivotArea dataOnly="0" labelOnly="1" outline="0" axis="axisValues" fieldPosition="0"/>
    </format>
    <format dxfId="69">
      <pivotArea type="all" dataOnly="0" outline="0" fieldPosition="0"/>
    </format>
    <format dxfId="68">
      <pivotArea outline="0" collapsedLevelsAreSubtotals="1" fieldPosition="0"/>
    </format>
    <format dxfId="67">
      <pivotArea type="origin" dataOnly="0" labelOnly="1" outline="0" fieldPosition="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type="origin" dataOnly="0" labelOnly="1" outline="0" fieldPosition="0"/>
    </format>
    <format dxfId="6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32ABFA3-1727-4041-BD66-E0A068BB3627}" name="PivotTable2"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T1:AE53" firstHeaderRow="1" firstDataRow="2" firstDataCol="1"/>
  <pivotFields count="20">
    <pivotField showAll="0">
      <items count="251">
        <item x="96"/>
        <item x="80"/>
        <item x="234"/>
        <item x="27"/>
        <item x="110"/>
        <item x="75"/>
        <item x="55"/>
        <item x="171"/>
        <item x="133"/>
        <item x="201"/>
        <item x="207"/>
        <item x="151"/>
        <item x="236"/>
        <item x="233"/>
        <item x="37"/>
        <item x="230"/>
        <item x="137"/>
        <item x="67"/>
        <item x="237"/>
        <item x="87"/>
        <item x="35"/>
        <item x="188"/>
        <item x="1"/>
        <item x="205"/>
        <item x="53"/>
        <item x="179"/>
        <item x="91"/>
        <item x="166"/>
        <item x="30"/>
        <item x="198"/>
        <item x="94"/>
        <item x="163"/>
        <item x="147"/>
        <item x="128"/>
        <item x="141"/>
        <item x="161"/>
        <item x="97"/>
        <item x="232"/>
        <item x="245"/>
        <item x="25"/>
        <item x="33"/>
        <item x="39"/>
        <item x="3"/>
        <item x="50"/>
        <item x="153"/>
        <item x="169"/>
        <item x="218"/>
        <item x="223"/>
        <item x="16"/>
        <item x="238"/>
        <item x="191"/>
        <item x="61"/>
        <item x="226"/>
        <item x="112"/>
        <item x="123"/>
        <item x="178"/>
        <item x="136"/>
        <item x="98"/>
        <item x="193"/>
        <item x="138"/>
        <item x="51"/>
        <item x="220"/>
        <item x="28"/>
        <item x="249"/>
        <item x="83"/>
        <item x="158"/>
        <item x="13"/>
        <item x="243"/>
        <item x="202"/>
        <item x="62"/>
        <item x="24"/>
        <item x="194"/>
        <item x="146"/>
        <item x="102"/>
        <item x="88"/>
        <item x="143"/>
        <item x="113"/>
        <item x="54"/>
        <item x="131"/>
        <item x="77"/>
        <item x="164"/>
        <item x="160"/>
        <item x="216"/>
        <item x="185"/>
        <item x="125"/>
        <item x="63"/>
        <item x="189"/>
        <item x="47"/>
        <item x="209"/>
        <item x="140"/>
        <item x="181"/>
        <item x="5"/>
        <item x="46"/>
        <item x="154"/>
        <item x="132"/>
        <item x="59"/>
        <item x="69"/>
        <item x="89"/>
        <item x="101"/>
        <item x="104"/>
        <item x="85"/>
        <item x="187"/>
        <item x="248"/>
        <item x="57"/>
        <item x="206"/>
        <item x="192"/>
        <item x="190"/>
        <item x="108"/>
        <item x="139"/>
        <item x="195"/>
        <item x="114"/>
        <item x="106"/>
        <item x="64"/>
        <item x="65"/>
        <item x="48"/>
        <item x="246"/>
        <item x="41"/>
        <item x="211"/>
        <item x="117"/>
        <item x="247"/>
        <item x="44"/>
        <item x="18"/>
        <item x="115"/>
        <item x="235"/>
        <item x="182"/>
        <item x="196"/>
        <item x="58"/>
        <item x="40"/>
        <item x="119"/>
        <item x="32"/>
        <item x="72"/>
        <item x="93"/>
        <item x="155"/>
        <item x="17"/>
        <item x="8"/>
        <item x="66"/>
        <item x="157"/>
        <item x="10"/>
        <item x="2"/>
        <item x="92"/>
        <item x="68"/>
        <item x="105"/>
        <item x="173"/>
        <item x="244"/>
        <item x="149"/>
        <item x="121"/>
        <item x="176"/>
        <item x="150"/>
        <item x="145"/>
        <item x="52"/>
        <item x="217"/>
        <item x="239"/>
        <item x="135"/>
        <item x="49"/>
        <item x="0"/>
        <item x="175"/>
        <item x="79"/>
        <item x="126"/>
        <item x="197"/>
        <item x="148"/>
        <item x="107"/>
        <item x="73"/>
        <item x="168"/>
        <item x="170"/>
        <item x="174"/>
        <item x="203"/>
        <item x="134"/>
        <item x="213"/>
        <item x="70"/>
        <item x="99"/>
        <item x="172"/>
        <item x="142"/>
        <item x="127"/>
        <item x="120"/>
        <item x="228"/>
        <item x="84"/>
        <item x="116"/>
        <item x="199"/>
        <item x="212"/>
        <item x="159"/>
        <item x="118"/>
        <item x="221"/>
        <item x="167"/>
        <item x="56"/>
        <item x="9"/>
        <item x="229"/>
        <item x="208"/>
        <item x="200"/>
        <item x="129"/>
        <item x="130"/>
        <item x="14"/>
        <item x="60"/>
        <item x="6"/>
        <item x="31"/>
        <item x="111"/>
        <item x="210"/>
        <item x="241"/>
        <item x="162"/>
        <item x="231"/>
        <item x="219"/>
        <item x="156"/>
        <item x="38"/>
        <item x="122"/>
        <item x="22"/>
        <item x="86"/>
        <item x="152"/>
        <item x="177"/>
        <item x="42"/>
        <item x="11"/>
        <item x="144"/>
        <item x="109"/>
        <item x="4"/>
        <item x="240"/>
        <item x="214"/>
        <item x="76"/>
        <item x="71"/>
        <item x="81"/>
        <item x="124"/>
        <item x="204"/>
        <item x="45"/>
        <item x="215"/>
        <item x="19"/>
        <item x="183"/>
        <item x="165"/>
        <item x="103"/>
        <item x="225"/>
        <item x="224"/>
        <item x="78"/>
        <item x="222"/>
        <item x="15"/>
        <item x="20"/>
        <item x="34"/>
        <item x="227"/>
        <item x="43"/>
        <item x="26"/>
        <item x="95"/>
        <item x="180"/>
        <item x="186"/>
        <item x="21"/>
        <item x="7"/>
        <item x="29"/>
        <item x="23"/>
        <item x="184"/>
        <item x="74"/>
        <item x="36"/>
        <item x="12"/>
        <item x="90"/>
        <item x="100"/>
        <item x="82"/>
        <item x="242"/>
        <item t="default"/>
      </items>
    </pivotField>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axis="axisRow" showAll="0">
      <items count="51">
        <item x="49"/>
        <item x="25"/>
        <item x="4"/>
        <item x="31"/>
        <item x="47"/>
        <item x="24"/>
        <item x="35"/>
        <item x="27"/>
        <item x="7"/>
        <item x="15"/>
        <item x="44"/>
        <item x="18"/>
        <item x="1"/>
        <item x="21"/>
        <item x="45"/>
        <item x="39"/>
        <item x="6"/>
        <item x="17"/>
        <item x="29"/>
        <item x="36"/>
        <item x="2"/>
        <item x="9"/>
        <item x="0"/>
        <item x="5"/>
        <item x="14"/>
        <item x="8"/>
        <item x="13"/>
        <item x="32"/>
        <item x="23"/>
        <item x="22"/>
        <item x="26"/>
        <item x="42"/>
        <item x="37"/>
        <item x="41"/>
        <item x="28"/>
        <item x="20"/>
        <item x="48"/>
        <item x="12"/>
        <item x="40"/>
        <item x="30"/>
        <item x="10"/>
        <item x="43"/>
        <item x="11"/>
        <item x="19"/>
        <item x="46"/>
        <item x="3"/>
        <item x="38"/>
        <item x="16"/>
        <item x="34"/>
        <item x="33"/>
        <item t="default"/>
      </items>
    </pivotField>
    <pivotField showAll="0"/>
    <pivotField showAll="0"/>
    <pivotField axis="axisCol" dataField="1" showAll="0">
      <items count="11">
        <item x="1"/>
        <item x="2"/>
        <item x="7"/>
        <item x="6"/>
        <item x="3"/>
        <item x="8"/>
        <item x="4"/>
        <item x="0"/>
        <item x="9"/>
        <item x="5"/>
        <item t="default"/>
      </items>
    </pivotField>
    <pivotField showAll="0">
      <items count="4">
        <item x="1"/>
        <item x="0"/>
        <item x="2"/>
        <item t="default"/>
      </items>
    </pivotField>
    <pivotField showAll="0"/>
    <pivotField numFmtId="165" showAll="0">
      <items count="10">
        <item x="1"/>
        <item x="6"/>
        <item x="7"/>
        <item x="2"/>
        <item x="8"/>
        <item x="0"/>
        <item x="5"/>
        <item x="4"/>
        <item x="3"/>
        <item t="default"/>
      </items>
    </pivotField>
    <pivotField showAll="0">
      <items count="5">
        <item x="0"/>
        <item x="1"/>
        <item x="3"/>
        <item x="2"/>
        <item t="default"/>
      </items>
    </pivotField>
    <pivotField showAll="0"/>
    <pivotField showAll="0"/>
    <pivotField numFmtId="14" showAll="0"/>
    <pivotField numFmtId="165" showAll="0"/>
    <pivotField numFmtId="14" showAll="0"/>
    <pivotField numFmtId="164" showAll="0"/>
    <pivotField showAll="0">
      <items count="5">
        <item x="2"/>
        <item x="3"/>
        <item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s>
  <rowFields count="1">
    <field x="2"/>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5"/>
  </colFields>
  <colItems count="11">
    <i>
      <x/>
    </i>
    <i>
      <x v="1"/>
    </i>
    <i>
      <x v="2"/>
    </i>
    <i>
      <x v="3"/>
    </i>
    <i>
      <x v="4"/>
    </i>
    <i>
      <x v="5"/>
    </i>
    <i>
      <x v="6"/>
    </i>
    <i>
      <x v="7"/>
    </i>
    <i>
      <x v="8"/>
    </i>
    <i>
      <x v="9"/>
    </i>
    <i t="grand">
      <x/>
    </i>
  </colItems>
  <dataFields count="1">
    <dataField name="Count of Product_Name" fld="5" subtotal="count" baseField="0" baseItem="0"/>
  </dataFields>
  <formats count="12">
    <format dxfId="85">
      <pivotArea type="all" dataOnly="0" outline="0" fieldPosition="0"/>
    </format>
    <format dxfId="84">
      <pivotArea outline="0" collapsedLevelsAreSubtotals="1" fieldPosition="0"/>
    </format>
    <format dxfId="83">
      <pivotArea type="origin" dataOnly="0" labelOnly="1" outline="0" fieldPosition="0"/>
    </format>
    <format dxfId="82">
      <pivotArea dataOnly="0" labelOnly="1" outline="0" axis="axisValues" fieldPosition="0"/>
    </format>
    <format dxfId="81">
      <pivotArea type="all" dataOnly="0" outline="0" fieldPosition="0"/>
    </format>
    <format dxfId="80">
      <pivotArea outline="0" collapsedLevelsAreSubtotals="1" fieldPosition="0"/>
    </format>
    <format dxfId="79">
      <pivotArea type="origin" dataOnly="0" labelOnly="1" outline="0" fieldPosition="0"/>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type="origin" dataOnly="0" labelOnly="1" outline="0" fieldPosition="0"/>
    </format>
    <format dxfId="7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E0BD833A-DCD4-4E6F-A399-733BAE3E3816}" sourceName="Months (Date)">
  <pivotTables>
    <pivotTable tabId="5" name="PivotTable11"/>
  </pivotTables>
  <data>
    <tabular pivotCacheId="62063130">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B68E1685-3D2F-4240-A483-9987ECA865F4}" cache="Slicer_Months__Date" caption="Months (Date)" columnCount="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130A4-3563-43B8-85FB-94609207E729}">
  <dimension ref="L6"/>
  <sheetViews>
    <sheetView showGridLines="0" tabSelected="1" zoomScale="73" workbookViewId="0">
      <selection activeCell="AD15" sqref="AD15"/>
    </sheetView>
  </sheetViews>
  <sheetFormatPr defaultRowHeight="15" x14ac:dyDescent="0.25"/>
  <cols>
    <col min="1" max="16384" width="9.140625" style="23"/>
  </cols>
  <sheetData>
    <row r="6" spans="12:12" ht="28.5" x14ac:dyDescent="0.45">
      <c r="L6" s="2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8ECED-2231-4250-A4B6-C0B0B02922E3}">
  <dimension ref="A1:Q251"/>
  <sheetViews>
    <sheetView workbookViewId="0">
      <selection activeCell="E239" sqref="E239"/>
    </sheetView>
  </sheetViews>
  <sheetFormatPr defaultRowHeight="15" x14ac:dyDescent="0.25"/>
  <cols>
    <col min="1" max="1" width="15.85546875" customWidth="1"/>
    <col min="2" max="2" width="11.28515625" customWidth="1"/>
    <col min="3" max="3" width="13.85546875" customWidth="1"/>
    <col min="4" max="4" width="17.28515625" customWidth="1"/>
    <col min="5" max="5" width="13.5703125" customWidth="1"/>
    <col min="6" max="6" width="15.85546875" customWidth="1"/>
    <col min="7" max="7" width="12.140625" customWidth="1"/>
    <col min="8" max="8" width="11" customWidth="1"/>
    <col min="9" max="9" width="11.85546875" customWidth="1"/>
    <col min="10" max="10" width="20.42578125" customWidth="1"/>
    <col min="11" max="11" width="8.85546875" customWidth="1"/>
    <col min="12" max="12" width="19.85546875" customWidth="1"/>
    <col min="13" max="13" width="16.7109375" customWidth="1"/>
    <col min="14" max="14" width="16.28515625" customWidth="1"/>
    <col min="15" max="15" width="10.42578125" bestFit="1" customWidth="1"/>
    <col min="16" max="16" width="18.28515625" bestFit="1" customWidth="1"/>
    <col min="17" max="17" width="18.28515625" customWidth="1"/>
  </cols>
  <sheetData>
    <row r="1" spans="1:17" ht="3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399</v>
      </c>
      <c r="P1" s="8" t="s">
        <v>400</v>
      </c>
      <c r="Q1" s="1" t="s">
        <v>426</v>
      </c>
    </row>
    <row r="2" spans="1:17" x14ac:dyDescent="0.25">
      <c r="A2" s="2" t="s">
        <v>14</v>
      </c>
      <c r="B2" s="3">
        <v>45393</v>
      </c>
      <c r="C2" s="2" t="s">
        <v>15</v>
      </c>
      <c r="D2" s="2" t="s">
        <v>16</v>
      </c>
      <c r="E2" s="2" t="s">
        <v>17</v>
      </c>
      <c r="F2" s="2" t="s">
        <v>18</v>
      </c>
      <c r="G2" s="2" t="s">
        <v>19</v>
      </c>
      <c r="H2" s="2">
        <v>3</v>
      </c>
      <c r="I2" s="7">
        <v>249.99</v>
      </c>
      <c r="J2" s="2" t="s">
        <v>20</v>
      </c>
      <c r="K2" s="2" t="s">
        <v>21</v>
      </c>
      <c r="L2" s="2" t="s">
        <v>22</v>
      </c>
      <c r="M2" s="3">
        <v>44425</v>
      </c>
      <c r="N2" s="6">
        <v>749.97</v>
      </c>
      <c r="O2" s="4">
        <f ca="1">TODAY()</f>
        <v>46283</v>
      </c>
      <c r="P2" s="5">
        <f ca="1">NOW()</f>
        <v>46283.764101967594</v>
      </c>
      <c r="Q2" s="13">
        <f ca="1">DATEDIF(M2, $O$2, "Y")</f>
        <v>5</v>
      </c>
    </row>
    <row r="3" spans="1:17" x14ac:dyDescent="0.25">
      <c r="A3" s="2" t="s">
        <v>23</v>
      </c>
      <c r="B3" s="3">
        <v>45396</v>
      </c>
      <c r="C3" s="2" t="s">
        <v>24</v>
      </c>
      <c r="D3" s="2" t="s">
        <v>25</v>
      </c>
      <c r="E3" s="2" t="s">
        <v>17</v>
      </c>
      <c r="F3" s="2" t="s">
        <v>18</v>
      </c>
      <c r="G3" s="2" t="s">
        <v>19</v>
      </c>
      <c r="H3" s="2">
        <v>3</v>
      </c>
      <c r="I3" s="7">
        <v>249.99</v>
      </c>
      <c r="J3" s="2" t="s">
        <v>26</v>
      </c>
      <c r="K3" s="2" t="s">
        <v>21</v>
      </c>
      <c r="L3" s="2" t="s">
        <v>27</v>
      </c>
      <c r="M3" s="3">
        <v>44575</v>
      </c>
      <c r="N3" s="6">
        <v>749.97</v>
      </c>
      <c r="O3" s="4">
        <f t="shared" ref="O3:O66" ca="1" si="0">TODAY()</f>
        <v>46283</v>
      </c>
      <c r="P3" s="5">
        <f ca="1">NOW()</f>
        <v>46283.764101967594</v>
      </c>
      <c r="Q3" s="13">
        <f t="shared" ref="Q3:Q66" ca="1" si="1">DATEDIF(M3, $O$2, "Y")</f>
        <v>4</v>
      </c>
    </row>
    <row r="4" spans="1:17" x14ac:dyDescent="0.25">
      <c r="A4" s="2" t="s">
        <v>28</v>
      </c>
      <c r="B4" s="3">
        <v>45399</v>
      </c>
      <c r="C4" s="2" t="s">
        <v>29</v>
      </c>
      <c r="D4" s="2" t="s">
        <v>30</v>
      </c>
      <c r="E4" s="2" t="s">
        <v>31</v>
      </c>
      <c r="F4" s="2" t="s">
        <v>32</v>
      </c>
      <c r="G4" s="2" t="s">
        <v>33</v>
      </c>
      <c r="H4" s="2">
        <v>3</v>
      </c>
      <c r="I4" s="7">
        <v>59.99</v>
      </c>
      <c r="J4" s="2" t="s">
        <v>34</v>
      </c>
      <c r="K4" s="2" t="s">
        <v>35</v>
      </c>
      <c r="L4" s="2" t="s">
        <v>36</v>
      </c>
      <c r="M4" s="3">
        <v>45262</v>
      </c>
      <c r="N4" s="6">
        <v>179.97</v>
      </c>
      <c r="O4" s="4">
        <f t="shared" ca="1" si="0"/>
        <v>46283</v>
      </c>
      <c r="P4" s="5">
        <f t="shared" ref="P4:P66" ca="1" si="2">NOW()</f>
        <v>46283.764101967594</v>
      </c>
      <c r="Q4" s="13">
        <f t="shared" ca="1" si="1"/>
        <v>2</v>
      </c>
    </row>
    <row r="5" spans="1:17" x14ac:dyDescent="0.25">
      <c r="A5" s="2" t="s">
        <v>37</v>
      </c>
      <c r="B5" s="3">
        <v>45400</v>
      </c>
      <c r="C5" s="2" t="s">
        <v>38</v>
      </c>
      <c r="D5" s="2" t="s">
        <v>39</v>
      </c>
      <c r="E5" s="2" t="s">
        <v>31</v>
      </c>
      <c r="F5" s="2" t="s">
        <v>32</v>
      </c>
      <c r="G5" s="2" t="s">
        <v>33</v>
      </c>
      <c r="H5" s="2">
        <v>3</v>
      </c>
      <c r="I5" s="7">
        <v>59.99</v>
      </c>
      <c r="J5" s="2" t="s">
        <v>20</v>
      </c>
      <c r="K5" s="2" t="s">
        <v>40</v>
      </c>
      <c r="L5" s="2" t="s">
        <v>27</v>
      </c>
      <c r="M5" s="3">
        <v>45114</v>
      </c>
      <c r="N5" s="6">
        <v>179.97</v>
      </c>
      <c r="O5" s="4">
        <f t="shared" ca="1" si="0"/>
        <v>46283</v>
      </c>
      <c r="P5" s="5">
        <f t="shared" ca="1" si="2"/>
        <v>46283.764101967594</v>
      </c>
      <c r="Q5" s="13">
        <f t="shared" ca="1" si="1"/>
        <v>3</v>
      </c>
    </row>
    <row r="6" spans="1:17" x14ac:dyDescent="0.25">
      <c r="A6" s="2" t="s">
        <v>41</v>
      </c>
      <c r="B6" s="3">
        <v>45400</v>
      </c>
      <c r="C6" s="2" t="s">
        <v>42</v>
      </c>
      <c r="D6" s="2" t="s">
        <v>43</v>
      </c>
      <c r="E6" s="2" t="s">
        <v>44</v>
      </c>
      <c r="F6" s="2" t="s">
        <v>45</v>
      </c>
      <c r="G6" s="2" t="s">
        <v>46</v>
      </c>
      <c r="H6" s="2">
        <v>5</v>
      </c>
      <c r="I6" s="7">
        <v>149.99</v>
      </c>
      <c r="J6" s="2" t="s">
        <v>26</v>
      </c>
      <c r="K6" s="2" t="s">
        <v>40</v>
      </c>
      <c r="L6" s="2" t="s">
        <v>27</v>
      </c>
      <c r="M6" s="3">
        <v>45295</v>
      </c>
      <c r="N6" s="6">
        <v>749.95</v>
      </c>
      <c r="O6" s="4">
        <f t="shared" ca="1" si="0"/>
        <v>46283</v>
      </c>
      <c r="P6" s="5">
        <f t="shared" ca="1" si="2"/>
        <v>46283.764101967594</v>
      </c>
      <c r="Q6" s="13">
        <f t="shared" ca="1" si="1"/>
        <v>2</v>
      </c>
    </row>
    <row r="7" spans="1:17" x14ac:dyDescent="0.25">
      <c r="A7" s="2" t="s">
        <v>47</v>
      </c>
      <c r="B7" s="3">
        <v>45403</v>
      </c>
      <c r="C7" s="2" t="s">
        <v>48</v>
      </c>
      <c r="D7" s="2" t="s">
        <v>49</v>
      </c>
      <c r="E7" s="2" t="s">
        <v>31</v>
      </c>
      <c r="F7" s="2" t="s">
        <v>32</v>
      </c>
      <c r="G7" s="2" t="s">
        <v>33</v>
      </c>
      <c r="H7" s="2">
        <v>2</v>
      </c>
      <c r="I7" s="7">
        <v>59.99</v>
      </c>
      <c r="J7" s="2" t="s">
        <v>20</v>
      </c>
      <c r="K7" s="2" t="s">
        <v>50</v>
      </c>
      <c r="L7" s="2" t="s">
        <v>36</v>
      </c>
      <c r="M7" s="3">
        <v>44746</v>
      </c>
      <c r="N7" s="6">
        <v>119.98</v>
      </c>
      <c r="O7" s="4">
        <f t="shared" ca="1" si="0"/>
        <v>46283</v>
      </c>
      <c r="P7" s="5">
        <f t="shared" ca="1" si="2"/>
        <v>46283.764101967594</v>
      </c>
      <c r="Q7" s="13">
        <f t="shared" ca="1" si="1"/>
        <v>4</v>
      </c>
    </row>
    <row r="8" spans="1:17" x14ac:dyDescent="0.25">
      <c r="A8" s="2" t="s">
        <v>51</v>
      </c>
      <c r="B8" s="3">
        <v>45403</v>
      </c>
      <c r="C8" s="2" t="s">
        <v>48</v>
      </c>
      <c r="D8" s="2" t="s">
        <v>49</v>
      </c>
      <c r="E8" s="2" t="s">
        <v>52</v>
      </c>
      <c r="F8" s="2" t="s">
        <v>53</v>
      </c>
      <c r="G8" s="2" t="s">
        <v>19</v>
      </c>
      <c r="H8" s="2">
        <v>5</v>
      </c>
      <c r="I8" s="7">
        <v>149.99</v>
      </c>
      <c r="J8" s="2" t="s">
        <v>26</v>
      </c>
      <c r="K8" s="2" t="s">
        <v>21</v>
      </c>
      <c r="L8" s="2" t="s">
        <v>36</v>
      </c>
      <c r="M8" s="3">
        <v>44418</v>
      </c>
      <c r="N8" s="6">
        <v>749.95</v>
      </c>
      <c r="O8" s="4">
        <f t="shared" ca="1" si="0"/>
        <v>46283</v>
      </c>
      <c r="P8" s="5">
        <f t="shared" ca="1" si="2"/>
        <v>46283.764101967594</v>
      </c>
      <c r="Q8" s="13">
        <f t="shared" ca="1" si="1"/>
        <v>5</v>
      </c>
    </row>
    <row r="9" spans="1:17" x14ac:dyDescent="0.25">
      <c r="A9" s="2" t="s">
        <v>54</v>
      </c>
      <c r="B9" s="3">
        <v>45403</v>
      </c>
      <c r="C9" s="2" t="s">
        <v>55</v>
      </c>
      <c r="D9" s="2" t="s">
        <v>56</v>
      </c>
      <c r="E9" s="2" t="s">
        <v>31</v>
      </c>
      <c r="F9" s="2" t="s">
        <v>32</v>
      </c>
      <c r="G9" s="2" t="s">
        <v>33</v>
      </c>
      <c r="H9" s="2">
        <v>3</v>
      </c>
      <c r="I9" s="7">
        <v>59.99</v>
      </c>
      <c r="J9" s="2" t="s">
        <v>57</v>
      </c>
      <c r="K9" s="2" t="s">
        <v>35</v>
      </c>
      <c r="L9" s="2" t="s">
        <v>22</v>
      </c>
      <c r="M9" s="3">
        <v>45007</v>
      </c>
      <c r="N9" s="6">
        <v>179.97</v>
      </c>
      <c r="O9" s="4">
        <f t="shared" ca="1" si="0"/>
        <v>46283</v>
      </c>
      <c r="P9" s="5">
        <f t="shared" ca="1" si="2"/>
        <v>46283.764101967594</v>
      </c>
      <c r="Q9" s="13">
        <f t="shared" ca="1" si="1"/>
        <v>3</v>
      </c>
    </row>
    <row r="10" spans="1:17" x14ac:dyDescent="0.25">
      <c r="A10" s="2" t="s">
        <v>58</v>
      </c>
      <c r="B10" s="3">
        <v>45405</v>
      </c>
      <c r="C10" s="2" t="s">
        <v>59</v>
      </c>
      <c r="D10" s="2" t="s">
        <v>60</v>
      </c>
      <c r="E10" s="2" t="s">
        <v>61</v>
      </c>
      <c r="F10" s="2" t="s">
        <v>62</v>
      </c>
      <c r="G10" s="2" t="s">
        <v>19</v>
      </c>
      <c r="H10" s="2">
        <v>3</v>
      </c>
      <c r="I10" s="7">
        <v>899.99</v>
      </c>
      <c r="J10" s="2" t="s">
        <v>34</v>
      </c>
      <c r="K10" s="2" t="s">
        <v>63</v>
      </c>
      <c r="L10" s="2" t="s">
        <v>36</v>
      </c>
      <c r="M10" s="3">
        <v>45299</v>
      </c>
      <c r="N10" s="6">
        <v>2699.97</v>
      </c>
      <c r="O10" s="4">
        <f t="shared" ca="1" si="0"/>
        <v>46283</v>
      </c>
      <c r="P10" s="5">
        <f t="shared" ca="1" si="2"/>
        <v>46283.764101967594</v>
      </c>
      <c r="Q10" s="13">
        <f t="shared" ca="1" si="1"/>
        <v>2</v>
      </c>
    </row>
    <row r="11" spans="1:17" x14ac:dyDescent="0.25">
      <c r="A11" s="2" t="s">
        <v>64</v>
      </c>
      <c r="B11" s="3">
        <v>45408</v>
      </c>
      <c r="C11" s="2" t="s">
        <v>65</v>
      </c>
      <c r="D11" s="2" t="s">
        <v>66</v>
      </c>
      <c r="E11" s="2" t="s">
        <v>31</v>
      </c>
      <c r="F11" s="2" t="s">
        <v>32</v>
      </c>
      <c r="G11" s="2" t="s">
        <v>33</v>
      </c>
      <c r="H11" s="2">
        <v>3</v>
      </c>
      <c r="I11" s="7">
        <v>59.99</v>
      </c>
      <c r="J11" s="2" t="s">
        <v>20</v>
      </c>
      <c r="K11" s="2" t="s">
        <v>50</v>
      </c>
      <c r="L11" s="2" t="s">
        <v>27</v>
      </c>
      <c r="M11" s="3">
        <v>45207</v>
      </c>
      <c r="N11" s="6">
        <v>179.97</v>
      </c>
      <c r="O11" s="4">
        <f t="shared" ca="1" si="0"/>
        <v>46283</v>
      </c>
      <c r="P11" s="5">
        <f t="shared" ca="1" si="2"/>
        <v>46283.764101967594</v>
      </c>
      <c r="Q11" s="13">
        <f t="shared" ca="1" si="1"/>
        <v>2</v>
      </c>
    </row>
    <row r="12" spans="1:17" x14ac:dyDescent="0.25">
      <c r="A12" s="2" t="s">
        <v>67</v>
      </c>
      <c r="B12" s="3">
        <v>45408</v>
      </c>
      <c r="C12" s="2" t="s">
        <v>68</v>
      </c>
      <c r="D12" s="2" t="s">
        <v>69</v>
      </c>
      <c r="E12" s="2" t="s">
        <v>44</v>
      </c>
      <c r="F12" s="2" t="s">
        <v>45</v>
      </c>
      <c r="G12" s="2" t="s">
        <v>46</v>
      </c>
      <c r="H12" s="2">
        <v>1</v>
      </c>
      <c r="I12" s="7">
        <v>149.99</v>
      </c>
      <c r="J12" s="2" t="s">
        <v>26</v>
      </c>
      <c r="K12" s="2" t="s">
        <v>50</v>
      </c>
      <c r="L12" s="2" t="s">
        <v>36</v>
      </c>
      <c r="M12" s="3">
        <v>45103</v>
      </c>
      <c r="N12" s="6">
        <v>149.99</v>
      </c>
      <c r="O12" s="4">
        <f t="shared" ca="1" si="0"/>
        <v>46283</v>
      </c>
      <c r="P12" s="5">
        <f t="shared" ca="1" si="2"/>
        <v>46283.764101967594</v>
      </c>
      <c r="Q12" s="13">
        <f t="shared" ca="1" si="1"/>
        <v>3</v>
      </c>
    </row>
    <row r="13" spans="1:17" x14ac:dyDescent="0.25">
      <c r="A13" s="2" t="s">
        <v>70</v>
      </c>
      <c r="B13" s="3">
        <v>45408</v>
      </c>
      <c r="C13" s="2" t="s">
        <v>38</v>
      </c>
      <c r="D13" s="2" t="s">
        <v>39</v>
      </c>
      <c r="E13" s="2" t="s">
        <v>44</v>
      </c>
      <c r="F13" s="2" t="s">
        <v>45</v>
      </c>
      <c r="G13" s="2" t="s">
        <v>46</v>
      </c>
      <c r="H13" s="2">
        <v>5</v>
      </c>
      <c r="I13" s="7">
        <v>149.99</v>
      </c>
      <c r="J13" s="2" t="s">
        <v>57</v>
      </c>
      <c r="K13" s="2" t="s">
        <v>40</v>
      </c>
      <c r="L13" s="2" t="s">
        <v>22</v>
      </c>
      <c r="M13" s="3">
        <v>44830</v>
      </c>
      <c r="N13" s="6">
        <v>749.95</v>
      </c>
      <c r="O13" s="4">
        <f t="shared" ca="1" si="0"/>
        <v>46283</v>
      </c>
      <c r="P13" s="5">
        <f t="shared" ca="1" si="2"/>
        <v>46283.764101967594</v>
      </c>
      <c r="Q13" s="13">
        <f t="shared" ca="1" si="1"/>
        <v>3</v>
      </c>
    </row>
    <row r="14" spans="1:17" x14ac:dyDescent="0.25">
      <c r="A14" s="2" t="s">
        <v>71</v>
      </c>
      <c r="B14" s="3">
        <v>45408</v>
      </c>
      <c r="C14" s="2" t="s">
        <v>72</v>
      </c>
      <c r="D14" s="2" t="s">
        <v>73</v>
      </c>
      <c r="E14" s="2" t="s">
        <v>44</v>
      </c>
      <c r="F14" s="2" t="s">
        <v>45</v>
      </c>
      <c r="G14" s="2" t="s">
        <v>46</v>
      </c>
      <c r="H14" s="2">
        <v>3</v>
      </c>
      <c r="I14" s="7">
        <v>149.99</v>
      </c>
      <c r="J14" s="2" t="s">
        <v>20</v>
      </c>
      <c r="K14" s="2" t="s">
        <v>40</v>
      </c>
      <c r="L14" s="2" t="s">
        <v>27</v>
      </c>
      <c r="M14" s="3">
        <v>44806</v>
      </c>
      <c r="N14" s="6">
        <v>449.97</v>
      </c>
      <c r="O14" s="4">
        <f t="shared" ca="1" si="0"/>
        <v>46283</v>
      </c>
      <c r="P14" s="5">
        <f t="shared" ca="1" si="2"/>
        <v>46283.764101967594</v>
      </c>
      <c r="Q14" s="13">
        <f t="shared" ca="1" si="1"/>
        <v>4</v>
      </c>
    </row>
    <row r="15" spans="1:17" x14ac:dyDescent="0.25">
      <c r="A15" s="2" t="s">
        <v>74</v>
      </c>
      <c r="B15" s="3">
        <v>45409</v>
      </c>
      <c r="C15" s="2" t="s">
        <v>75</v>
      </c>
      <c r="D15" s="2" t="s">
        <v>76</v>
      </c>
      <c r="E15" s="2" t="s">
        <v>31</v>
      </c>
      <c r="F15" s="2" t="s">
        <v>32</v>
      </c>
      <c r="G15" s="2" t="s">
        <v>33</v>
      </c>
      <c r="H15" s="2">
        <v>3</v>
      </c>
      <c r="I15" s="7">
        <v>59.99</v>
      </c>
      <c r="J15" s="2" t="s">
        <v>26</v>
      </c>
      <c r="K15" s="2" t="s">
        <v>40</v>
      </c>
      <c r="L15" s="2" t="s">
        <v>36</v>
      </c>
      <c r="M15" s="3">
        <v>45351</v>
      </c>
      <c r="N15" s="6">
        <v>179.97</v>
      </c>
      <c r="O15" s="4">
        <f t="shared" ca="1" si="0"/>
        <v>46283</v>
      </c>
      <c r="P15" s="5">
        <f t="shared" ca="1" si="2"/>
        <v>46283.764101967594</v>
      </c>
      <c r="Q15" s="13">
        <f t="shared" ca="1" si="1"/>
        <v>2</v>
      </c>
    </row>
    <row r="16" spans="1:17" x14ac:dyDescent="0.25">
      <c r="A16" s="2" t="s">
        <v>77</v>
      </c>
      <c r="B16" s="3">
        <v>45409</v>
      </c>
      <c r="C16" s="2" t="s">
        <v>78</v>
      </c>
      <c r="D16" s="2" t="s">
        <v>79</v>
      </c>
      <c r="E16" s="2" t="s">
        <v>80</v>
      </c>
      <c r="F16" s="2" t="s">
        <v>81</v>
      </c>
      <c r="G16" s="2" t="s">
        <v>19</v>
      </c>
      <c r="H16" s="2">
        <v>3</v>
      </c>
      <c r="I16" s="7">
        <v>699.99</v>
      </c>
      <c r="J16" s="2" t="s">
        <v>26</v>
      </c>
      <c r="K16" s="2" t="s">
        <v>50</v>
      </c>
      <c r="L16" s="2" t="s">
        <v>22</v>
      </c>
      <c r="M16" s="3">
        <v>44577</v>
      </c>
      <c r="N16" s="6">
        <v>2099.9699999999998</v>
      </c>
      <c r="O16" s="4">
        <f t="shared" ca="1" si="0"/>
        <v>46283</v>
      </c>
      <c r="P16" s="5">
        <f t="shared" ca="1" si="2"/>
        <v>46283.764101967594</v>
      </c>
      <c r="Q16" s="13">
        <f t="shared" ca="1" si="1"/>
        <v>4</v>
      </c>
    </row>
    <row r="17" spans="1:17" x14ac:dyDescent="0.25">
      <c r="A17" s="2" t="s">
        <v>82</v>
      </c>
      <c r="B17" s="3">
        <v>45409</v>
      </c>
      <c r="C17" s="2" t="s">
        <v>83</v>
      </c>
      <c r="D17" s="2" t="s">
        <v>84</v>
      </c>
      <c r="E17" s="2" t="s">
        <v>61</v>
      </c>
      <c r="F17" s="2" t="s">
        <v>62</v>
      </c>
      <c r="G17" s="2" t="s">
        <v>19</v>
      </c>
      <c r="H17" s="2">
        <v>1</v>
      </c>
      <c r="I17" s="7">
        <v>899.99</v>
      </c>
      <c r="J17" s="2" t="s">
        <v>57</v>
      </c>
      <c r="K17" s="2" t="s">
        <v>40</v>
      </c>
      <c r="L17" s="2" t="s">
        <v>36</v>
      </c>
      <c r="M17" s="3">
        <v>44920</v>
      </c>
      <c r="N17" s="6">
        <v>899.99</v>
      </c>
      <c r="O17" s="4">
        <f t="shared" ca="1" si="0"/>
        <v>46283</v>
      </c>
      <c r="P17" s="5">
        <f t="shared" ca="1" si="2"/>
        <v>46283.764101967594</v>
      </c>
      <c r="Q17" s="13">
        <f t="shared" ca="1" si="1"/>
        <v>3</v>
      </c>
    </row>
    <row r="18" spans="1:17" x14ac:dyDescent="0.25">
      <c r="A18" s="2" t="s">
        <v>85</v>
      </c>
      <c r="B18" s="3">
        <v>45410</v>
      </c>
      <c r="C18" s="2" t="s">
        <v>86</v>
      </c>
      <c r="D18" s="2" t="s">
        <v>87</v>
      </c>
      <c r="E18" s="2" t="s">
        <v>44</v>
      </c>
      <c r="F18" s="2" t="s">
        <v>45</v>
      </c>
      <c r="G18" s="2" t="s">
        <v>46</v>
      </c>
      <c r="H18" s="2">
        <v>4</v>
      </c>
      <c r="I18" s="7">
        <v>149.99</v>
      </c>
      <c r="J18" s="2" t="s">
        <v>57</v>
      </c>
      <c r="K18" s="2" t="s">
        <v>40</v>
      </c>
      <c r="L18" s="2" t="s">
        <v>27</v>
      </c>
      <c r="M18" s="3">
        <v>45374</v>
      </c>
      <c r="N18" s="6">
        <v>599.96</v>
      </c>
      <c r="O18" s="4">
        <f t="shared" ca="1" si="0"/>
        <v>46283</v>
      </c>
      <c r="P18" s="5">
        <f t="shared" ca="1" si="2"/>
        <v>46283.764101967594</v>
      </c>
      <c r="Q18" s="13">
        <f t="shared" ca="1" si="1"/>
        <v>2</v>
      </c>
    </row>
    <row r="19" spans="1:17" x14ac:dyDescent="0.25">
      <c r="A19" s="2" t="s">
        <v>88</v>
      </c>
      <c r="B19" s="3">
        <v>45410</v>
      </c>
      <c r="C19" s="2" t="s">
        <v>89</v>
      </c>
      <c r="D19" s="2" t="s">
        <v>90</v>
      </c>
      <c r="E19" s="2" t="s">
        <v>80</v>
      </c>
      <c r="F19" s="2" t="s">
        <v>81</v>
      </c>
      <c r="G19" s="2" t="s">
        <v>19</v>
      </c>
      <c r="H19" s="2">
        <v>2</v>
      </c>
      <c r="I19" s="7">
        <v>699.99</v>
      </c>
      <c r="J19" s="2" t="s">
        <v>20</v>
      </c>
      <c r="K19" s="2" t="s">
        <v>40</v>
      </c>
      <c r="L19" s="2" t="s">
        <v>22</v>
      </c>
      <c r="M19" s="3">
        <v>44781</v>
      </c>
      <c r="N19" s="6">
        <v>1399.98</v>
      </c>
      <c r="O19" s="4">
        <f t="shared" ca="1" si="0"/>
        <v>46283</v>
      </c>
      <c r="P19" s="5">
        <f t="shared" ca="1" si="2"/>
        <v>46283.764101967594</v>
      </c>
      <c r="Q19" s="13">
        <f t="shared" ca="1" si="1"/>
        <v>4</v>
      </c>
    </row>
    <row r="20" spans="1:17" x14ac:dyDescent="0.25">
      <c r="A20" s="2" t="s">
        <v>91</v>
      </c>
      <c r="B20" s="3">
        <v>45410</v>
      </c>
      <c r="C20" s="2" t="s">
        <v>86</v>
      </c>
      <c r="D20" s="2" t="s">
        <v>87</v>
      </c>
      <c r="E20" s="2" t="s">
        <v>61</v>
      </c>
      <c r="F20" s="2" t="s">
        <v>62</v>
      </c>
      <c r="G20" s="2" t="s">
        <v>19</v>
      </c>
      <c r="H20" s="2">
        <v>4</v>
      </c>
      <c r="I20" s="7">
        <v>899.99</v>
      </c>
      <c r="J20" s="2" t="s">
        <v>26</v>
      </c>
      <c r="K20" s="2" t="s">
        <v>50</v>
      </c>
      <c r="L20" s="2" t="s">
        <v>36</v>
      </c>
      <c r="M20" s="3">
        <v>45327</v>
      </c>
      <c r="N20" s="6">
        <v>3599.96</v>
      </c>
      <c r="O20" s="4">
        <f t="shared" ca="1" si="0"/>
        <v>46283</v>
      </c>
      <c r="P20" s="5">
        <f t="shared" ca="1" si="2"/>
        <v>46283.764101967594</v>
      </c>
      <c r="Q20" s="13">
        <f t="shared" ca="1" si="1"/>
        <v>2</v>
      </c>
    </row>
    <row r="21" spans="1:17" x14ac:dyDescent="0.25">
      <c r="A21" s="2" t="s">
        <v>92</v>
      </c>
      <c r="B21" s="3">
        <v>45410</v>
      </c>
      <c r="C21" s="2" t="s">
        <v>93</v>
      </c>
      <c r="D21" s="2" t="s">
        <v>94</v>
      </c>
      <c r="E21" s="2" t="s">
        <v>17</v>
      </c>
      <c r="F21" s="2" t="s">
        <v>18</v>
      </c>
      <c r="G21" s="2" t="s">
        <v>19</v>
      </c>
      <c r="H21" s="2">
        <v>3</v>
      </c>
      <c r="I21" s="7">
        <v>249.99</v>
      </c>
      <c r="J21" s="2" t="s">
        <v>26</v>
      </c>
      <c r="K21" s="2" t="s">
        <v>40</v>
      </c>
      <c r="L21" s="2" t="s">
        <v>27</v>
      </c>
      <c r="M21" s="3">
        <v>45224</v>
      </c>
      <c r="N21" s="6">
        <v>749.97</v>
      </c>
      <c r="O21" s="4">
        <f t="shared" ca="1" si="0"/>
        <v>46283</v>
      </c>
      <c r="P21" s="5">
        <f t="shared" ca="1" si="2"/>
        <v>46283.764101967594</v>
      </c>
      <c r="Q21" s="13">
        <f t="shared" ca="1" si="1"/>
        <v>2</v>
      </c>
    </row>
    <row r="22" spans="1:17" x14ac:dyDescent="0.25">
      <c r="A22" s="2" t="s">
        <v>95</v>
      </c>
      <c r="B22" s="3">
        <v>45412</v>
      </c>
      <c r="C22" s="2" t="s">
        <v>96</v>
      </c>
      <c r="D22" s="2" t="s">
        <v>97</v>
      </c>
      <c r="E22" s="2" t="s">
        <v>80</v>
      </c>
      <c r="F22" s="2" t="s">
        <v>81</v>
      </c>
      <c r="G22" s="2" t="s">
        <v>19</v>
      </c>
      <c r="H22" s="2">
        <v>5</v>
      </c>
      <c r="I22" s="7">
        <v>699.99</v>
      </c>
      <c r="J22" s="2" t="s">
        <v>20</v>
      </c>
      <c r="K22" s="2" t="s">
        <v>50</v>
      </c>
      <c r="L22" s="2" t="s">
        <v>22</v>
      </c>
      <c r="M22" s="3">
        <v>45167</v>
      </c>
      <c r="N22" s="6">
        <v>3499.95</v>
      </c>
      <c r="O22" s="4">
        <f t="shared" ca="1" si="0"/>
        <v>46283</v>
      </c>
      <c r="P22" s="5">
        <f t="shared" ca="1" si="2"/>
        <v>46283.764101967594</v>
      </c>
      <c r="Q22" s="13">
        <f t="shared" ca="1" si="1"/>
        <v>3</v>
      </c>
    </row>
    <row r="23" spans="1:17" x14ac:dyDescent="0.25">
      <c r="A23" s="2" t="s">
        <v>98</v>
      </c>
      <c r="B23" s="3">
        <v>45413</v>
      </c>
      <c r="C23" s="2" t="s">
        <v>99</v>
      </c>
      <c r="D23" s="2" t="s">
        <v>100</v>
      </c>
      <c r="E23" s="2" t="s">
        <v>80</v>
      </c>
      <c r="F23" s="2" t="s">
        <v>81</v>
      </c>
      <c r="G23" s="2" t="s">
        <v>19</v>
      </c>
      <c r="H23" s="2">
        <v>4</v>
      </c>
      <c r="I23" s="7">
        <v>699.99</v>
      </c>
      <c r="J23" s="2" t="s">
        <v>20</v>
      </c>
      <c r="K23" s="2" t="s">
        <v>63</v>
      </c>
      <c r="L23" s="2" t="s">
        <v>36</v>
      </c>
      <c r="M23" s="3">
        <v>44409</v>
      </c>
      <c r="N23" s="6">
        <v>2799.96</v>
      </c>
      <c r="O23" s="4">
        <f t="shared" ca="1" si="0"/>
        <v>46283</v>
      </c>
      <c r="P23" s="5">
        <f t="shared" ca="1" si="2"/>
        <v>46283.764101967594</v>
      </c>
      <c r="Q23" s="13">
        <f t="shared" ca="1" si="1"/>
        <v>5</v>
      </c>
    </row>
    <row r="24" spans="1:17" x14ac:dyDescent="0.25">
      <c r="A24" s="2" t="s">
        <v>101</v>
      </c>
      <c r="B24" s="3">
        <v>45415</v>
      </c>
      <c r="C24" s="2" t="s">
        <v>102</v>
      </c>
      <c r="D24" s="2" t="s">
        <v>103</v>
      </c>
      <c r="E24" s="2" t="s">
        <v>17</v>
      </c>
      <c r="F24" s="2" t="s">
        <v>18</v>
      </c>
      <c r="G24" s="2" t="s">
        <v>19</v>
      </c>
      <c r="H24" s="2">
        <v>4</v>
      </c>
      <c r="I24" s="7">
        <v>249.99</v>
      </c>
      <c r="J24" s="2" t="s">
        <v>34</v>
      </c>
      <c r="K24" s="2" t="s">
        <v>40</v>
      </c>
      <c r="L24" s="2" t="s">
        <v>36</v>
      </c>
      <c r="M24" s="3">
        <v>44468</v>
      </c>
      <c r="N24" s="6">
        <v>999.96</v>
      </c>
      <c r="O24" s="4">
        <f t="shared" ca="1" si="0"/>
        <v>46283</v>
      </c>
      <c r="P24" s="5">
        <f t="shared" ca="1" si="2"/>
        <v>46283.764101967594</v>
      </c>
      <c r="Q24" s="13">
        <f t="shared" ca="1" si="1"/>
        <v>4</v>
      </c>
    </row>
    <row r="25" spans="1:17" x14ac:dyDescent="0.25">
      <c r="A25" s="2" t="s">
        <v>104</v>
      </c>
      <c r="B25" s="3">
        <v>45416</v>
      </c>
      <c r="C25" s="2" t="s">
        <v>86</v>
      </c>
      <c r="D25" s="2" t="s">
        <v>87</v>
      </c>
      <c r="E25" s="2" t="s">
        <v>105</v>
      </c>
      <c r="F25" s="2" t="s">
        <v>106</v>
      </c>
      <c r="G25" s="2" t="s">
        <v>46</v>
      </c>
      <c r="H25" s="2">
        <v>4</v>
      </c>
      <c r="I25" s="7">
        <v>299.99</v>
      </c>
      <c r="J25" s="2" t="s">
        <v>20</v>
      </c>
      <c r="K25" s="2" t="s">
        <v>50</v>
      </c>
      <c r="L25" s="2" t="s">
        <v>27</v>
      </c>
      <c r="M25" s="3">
        <v>44716</v>
      </c>
      <c r="N25" s="6">
        <v>1199.96</v>
      </c>
      <c r="O25" s="4">
        <f t="shared" ca="1" si="0"/>
        <v>46283</v>
      </c>
      <c r="P25" s="5">
        <f t="shared" ca="1" si="2"/>
        <v>46283.764101967594</v>
      </c>
      <c r="Q25" s="13">
        <f t="shared" ca="1" si="1"/>
        <v>4</v>
      </c>
    </row>
    <row r="26" spans="1:17" x14ac:dyDescent="0.25">
      <c r="A26" s="2" t="s">
        <v>107</v>
      </c>
      <c r="B26" s="3">
        <v>45422</v>
      </c>
      <c r="C26" s="2" t="s">
        <v>108</v>
      </c>
      <c r="D26" s="2" t="s">
        <v>109</v>
      </c>
      <c r="E26" s="2" t="s">
        <v>17</v>
      </c>
      <c r="F26" s="2" t="s">
        <v>18</v>
      </c>
      <c r="G26" s="2" t="s">
        <v>19</v>
      </c>
      <c r="H26" s="2">
        <v>5</v>
      </c>
      <c r="I26" s="7">
        <v>249.99</v>
      </c>
      <c r="J26" s="2" t="s">
        <v>26</v>
      </c>
      <c r="K26" s="2" t="s">
        <v>50</v>
      </c>
      <c r="L26" s="2" t="s">
        <v>36</v>
      </c>
      <c r="M26" s="3">
        <v>44525</v>
      </c>
      <c r="N26" s="6">
        <v>1249.95</v>
      </c>
      <c r="O26" s="4">
        <f t="shared" ca="1" si="0"/>
        <v>46283</v>
      </c>
      <c r="P26" s="5">
        <f t="shared" ca="1" si="2"/>
        <v>46283.764101967594</v>
      </c>
      <c r="Q26" s="13">
        <f t="shared" ca="1" si="1"/>
        <v>4</v>
      </c>
    </row>
    <row r="27" spans="1:17" x14ac:dyDescent="0.25">
      <c r="A27" s="2" t="s">
        <v>110</v>
      </c>
      <c r="B27" s="3">
        <v>45424</v>
      </c>
      <c r="C27" s="2" t="s">
        <v>68</v>
      </c>
      <c r="D27" s="2" t="s">
        <v>69</v>
      </c>
      <c r="E27" s="2" t="s">
        <v>105</v>
      </c>
      <c r="F27" s="2" t="s">
        <v>106</v>
      </c>
      <c r="G27" s="2" t="s">
        <v>46</v>
      </c>
      <c r="H27" s="2">
        <v>5</v>
      </c>
      <c r="I27" s="7">
        <v>299.99</v>
      </c>
      <c r="J27" s="2" t="s">
        <v>34</v>
      </c>
      <c r="K27" s="2" t="s">
        <v>63</v>
      </c>
      <c r="L27" s="2" t="s">
        <v>22</v>
      </c>
      <c r="M27" s="3">
        <v>45168</v>
      </c>
      <c r="N27" s="6">
        <v>1499.95</v>
      </c>
      <c r="O27" s="4">
        <f t="shared" ca="1" si="0"/>
        <v>46283</v>
      </c>
      <c r="P27" s="5">
        <f t="shared" ca="1" si="2"/>
        <v>46283.764101967594</v>
      </c>
      <c r="Q27" s="13">
        <f t="shared" ca="1" si="1"/>
        <v>3</v>
      </c>
    </row>
    <row r="28" spans="1:17" x14ac:dyDescent="0.25">
      <c r="A28" s="2" t="s">
        <v>111</v>
      </c>
      <c r="B28" s="3">
        <v>45424</v>
      </c>
      <c r="C28" s="2" t="s">
        <v>112</v>
      </c>
      <c r="D28" s="2" t="s">
        <v>113</v>
      </c>
      <c r="E28" s="2" t="s">
        <v>114</v>
      </c>
      <c r="F28" s="2" t="s">
        <v>115</v>
      </c>
      <c r="G28" s="2" t="s">
        <v>33</v>
      </c>
      <c r="H28" s="2">
        <v>3</v>
      </c>
      <c r="I28" s="7">
        <v>79.989999999999995</v>
      </c>
      <c r="J28" s="2" t="s">
        <v>34</v>
      </c>
      <c r="K28" s="2" t="s">
        <v>63</v>
      </c>
      <c r="L28" s="2" t="s">
        <v>27</v>
      </c>
      <c r="M28" s="3">
        <v>45012</v>
      </c>
      <c r="N28" s="6">
        <v>239.97</v>
      </c>
      <c r="O28" s="4">
        <f t="shared" ca="1" si="0"/>
        <v>46283</v>
      </c>
      <c r="P28" s="5">
        <f t="shared" ca="1" si="2"/>
        <v>46283.764101967594</v>
      </c>
      <c r="Q28" s="13">
        <f t="shared" ca="1" si="1"/>
        <v>3</v>
      </c>
    </row>
    <row r="29" spans="1:17" x14ac:dyDescent="0.25">
      <c r="A29" s="2" t="s">
        <v>116</v>
      </c>
      <c r="B29" s="3">
        <v>45424</v>
      </c>
      <c r="C29" s="2" t="s">
        <v>99</v>
      </c>
      <c r="D29" s="2" t="s">
        <v>100</v>
      </c>
      <c r="E29" s="2" t="s">
        <v>117</v>
      </c>
      <c r="F29" s="2" t="s">
        <v>118</v>
      </c>
      <c r="G29" s="2" t="s">
        <v>19</v>
      </c>
      <c r="H29" s="2">
        <v>5</v>
      </c>
      <c r="I29" s="7">
        <v>89.99</v>
      </c>
      <c r="J29" s="2" t="s">
        <v>20</v>
      </c>
      <c r="K29" s="2" t="s">
        <v>40</v>
      </c>
      <c r="L29" s="2" t="s">
        <v>27</v>
      </c>
      <c r="M29" s="3">
        <v>44919</v>
      </c>
      <c r="N29" s="6">
        <v>449.95</v>
      </c>
      <c r="O29" s="4">
        <f t="shared" ca="1" si="0"/>
        <v>46283</v>
      </c>
      <c r="P29" s="5">
        <f t="shared" ca="1" si="2"/>
        <v>46283.764101967594</v>
      </c>
      <c r="Q29" s="13">
        <f t="shared" ca="1" si="1"/>
        <v>3</v>
      </c>
    </row>
    <row r="30" spans="1:17" x14ac:dyDescent="0.25">
      <c r="A30" s="2" t="s">
        <v>119</v>
      </c>
      <c r="B30" s="3">
        <v>45425</v>
      </c>
      <c r="C30" s="2" t="s">
        <v>120</v>
      </c>
      <c r="D30" s="2" t="s">
        <v>121</v>
      </c>
      <c r="E30" s="2" t="s">
        <v>31</v>
      </c>
      <c r="F30" s="2" t="s">
        <v>32</v>
      </c>
      <c r="G30" s="2" t="s">
        <v>33</v>
      </c>
      <c r="H30" s="2">
        <v>2</v>
      </c>
      <c r="I30" s="7">
        <v>59.99</v>
      </c>
      <c r="J30" s="2" t="s">
        <v>57</v>
      </c>
      <c r="K30" s="2" t="s">
        <v>21</v>
      </c>
      <c r="L30" s="2" t="s">
        <v>36</v>
      </c>
      <c r="M30" s="3">
        <v>45214</v>
      </c>
      <c r="N30" s="6">
        <v>119.98</v>
      </c>
      <c r="O30" s="4">
        <f t="shared" ca="1" si="0"/>
        <v>46283</v>
      </c>
      <c r="P30" s="5">
        <f t="shared" ca="1" si="2"/>
        <v>46283.764101967594</v>
      </c>
      <c r="Q30" s="13">
        <f t="shared" ca="1" si="1"/>
        <v>2</v>
      </c>
    </row>
    <row r="31" spans="1:17" x14ac:dyDescent="0.25">
      <c r="A31" s="2" t="s">
        <v>122</v>
      </c>
      <c r="B31" s="3">
        <v>45427</v>
      </c>
      <c r="C31" s="2" t="s">
        <v>123</v>
      </c>
      <c r="D31" s="2" t="s">
        <v>124</v>
      </c>
      <c r="E31" s="2" t="s">
        <v>31</v>
      </c>
      <c r="F31" s="2" t="s">
        <v>32</v>
      </c>
      <c r="G31" s="2" t="s">
        <v>33</v>
      </c>
      <c r="H31" s="2">
        <v>4</v>
      </c>
      <c r="I31" s="7">
        <v>59.99</v>
      </c>
      <c r="J31" s="2" t="s">
        <v>57</v>
      </c>
      <c r="K31" s="2" t="s">
        <v>63</v>
      </c>
      <c r="L31" s="2" t="s">
        <v>36</v>
      </c>
      <c r="M31" s="3">
        <v>44867</v>
      </c>
      <c r="N31" s="6">
        <v>239.96</v>
      </c>
      <c r="O31" s="4">
        <f t="shared" ca="1" si="0"/>
        <v>46283</v>
      </c>
      <c r="P31" s="5">
        <f t="shared" ca="1" si="2"/>
        <v>46283.764101967594</v>
      </c>
      <c r="Q31" s="13">
        <f t="shared" ca="1" si="1"/>
        <v>3</v>
      </c>
    </row>
    <row r="32" spans="1:17" x14ac:dyDescent="0.25">
      <c r="A32" s="2" t="s">
        <v>125</v>
      </c>
      <c r="B32" s="3">
        <v>45427</v>
      </c>
      <c r="C32" s="2" t="s">
        <v>55</v>
      </c>
      <c r="D32" s="2" t="s">
        <v>56</v>
      </c>
      <c r="E32" s="2" t="s">
        <v>126</v>
      </c>
      <c r="F32" s="2" t="s">
        <v>127</v>
      </c>
      <c r="G32" s="2" t="s">
        <v>46</v>
      </c>
      <c r="H32" s="2">
        <v>5</v>
      </c>
      <c r="I32" s="7">
        <v>199.99</v>
      </c>
      <c r="J32" s="2" t="s">
        <v>20</v>
      </c>
      <c r="K32" s="2" t="s">
        <v>35</v>
      </c>
      <c r="L32" s="2" t="s">
        <v>36</v>
      </c>
      <c r="M32" s="3">
        <v>44412</v>
      </c>
      <c r="N32" s="6">
        <v>999.95</v>
      </c>
      <c r="O32" s="4">
        <f t="shared" ca="1" si="0"/>
        <v>46283</v>
      </c>
      <c r="P32" s="5">
        <f t="shared" ca="1" si="2"/>
        <v>46283.764101967594</v>
      </c>
      <c r="Q32" s="13">
        <f t="shared" ca="1" si="1"/>
        <v>5</v>
      </c>
    </row>
    <row r="33" spans="1:17" x14ac:dyDescent="0.25">
      <c r="A33" s="2" t="s">
        <v>128</v>
      </c>
      <c r="B33" s="3">
        <v>45428</v>
      </c>
      <c r="C33" s="2" t="s">
        <v>129</v>
      </c>
      <c r="D33" s="2" t="s">
        <v>130</v>
      </c>
      <c r="E33" s="2" t="s">
        <v>44</v>
      </c>
      <c r="F33" s="2" t="s">
        <v>45</v>
      </c>
      <c r="G33" s="2" t="s">
        <v>46</v>
      </c>
      <c r="H33" s="2">
        <v>2</v>
      </c>
      <c r="I33" s="7">
        <v>149.99</v>
      </c>
      <c r="J33" s="2" t="s">
        <v>26</v>
      </c>
      <c r="K33" s="2" t="s">
        <v>50</v>
      </c>
      <c r="L33" s="2" t="s">
        <v>22</v>
      </c>
      <c r="M33" s="3">
        <v>44823</v>
      </c>
      <c r="N33" s="6">
        <v>299.98</v>
      </c>
      <c r="O33" s="4">
        <f t="shared" ca="1" si="0"/>
        <v>46283</v>
      </c>
      <c r="P33" s="5">
        <f t="shared" ca="1" si="2"/>
        <v>46283.764101967594</v>
      </c>
      <c r="Q33" s="13">
        <f t="shared" ca="1" si="1"/>
        <v>3</v>
      </c>
    </row>
    <row r="34" spans="1:17" x14ac:dyDescent="0.25">
      <c r="A34" s="2" t="s">
        <v>131</v>
      </c>
      <c r="B34" s="3">
        <v>45430</v>
      </c>
      <c r="C34" s="2" t="s">
        <v>132</v>
      </c>
      <c r="D34" s="2" t="s">
        <v>133</v>
      </c>
      <c r="E34" s="2" t="s">
        <v>44</v>
      </c>
      <c r="F34" s="2" t="s">
        <v>45</v>
      </c>
      <c r="G34" s="2" t="s">
        <v>46</v>
      </c>
      <c r="H34" s="2">
        <v>3</v>
      </c>
      <c r="I34" s="7">
        <v>149.99</v>
      </c>
      <c r="J34" s="2" t="s">
        <v>26</v>
      </c>
      <c r="K34" s="2" t="s">
        <v>50</v>
      </c>
      <c r="L34" s="2" t="s">
        <v>27</v>
      </c>
      <c r="M34" s="3">
        <v>45068</v>
      </c>
      <c r="N34" s="6">
        <v>449.97</v>
      </c>
      <c r="O34" s="4">
        <f t="shared" ca="1" si="0"/>
        <v>46283</v>
      </c>
      <c r="P34" s="5">
        <f t="shared" ca="1" si="2"/>
        <v>46283.764101967594</v>
      </c>
      <c r="Q34" s="13">
        <f t="shared" ca="1" si="1"/>
        <v>3</v>
      </c>
    </row>
    <row r="35" spans="1:17" x14ac:dyDescent="0.25">
      <c r="A35" s="2" t="s">
        <v>134</v>
      </c>
      <c r="B35" s="3">
        <v>45432</v>
      </c>
      <c r="C35" s="2" t="s">
        <v>29</v>
      </c>
      <c r="D35" s="2" t="s">
        <v>30</v>
      </c>
      <c r="E35" s="2" t="s">
        <v>61</v>
      </c>
      <c r="F35" s="2" t="s">
        <v>62</v>
      </c>
      <c r="G35" s="2" t="s">
        <v>19</v>
      </c>
      <c r="H35" s="2">
        <v>1</v>
      </c>
      <c r="I35" s="7">
        <v>899.99</v>
      </c>
      <c r="J35" s="2" t="s">
        <v>26</v>
      </c>
      <c r="K35" s="2" t="s">
        <v>50</v>
      </c>
      <c r="L35" s="2" t="s">
        <v>27</v>
      </c>
      <c r="M35" s="3">
        <v>44578</v>
      </c>
      <c r="N35" s="6">
        <v>899.99</v>
      </c>
      <c r="O35" s="4">
        <f t="shared" ca="1" si="0"/>
        <v>46283</v>
      </c>
      <c r="P35" s="5">
        <f t="shared" ca="1" si="2"/>
        <v>46283.764101967594</v>
      </c>
      <c r="Q35" s="13">
        <f t="shared" ca="1" si="1"/>
        <v>4</v>
      </c>
    </row>
    <row r="36" spans="1:17" x14ac:dyDescent="0.25">
      <c r="A36" s="2" t="s">
        <v>135</v>
      </c>
      <c r="B36" s="3">
        <v>45434</v>
      </c>
      <c r="C36" s="2" t="s">
        <v>99</v>
      </c>
      <c r="D36" s="2" t="s">
        <v>100</v>
      </c>
      <c r="E36" s="2" t="s">
        <v>105</v>
      </c>
      <c r="F36" s="2" t="s">
        <v>106</v>
      </c>
      <c r="G36" s="2" t="s">
        <v>46</v>
      </c>
      <c r="H36" s="2">
        <v>3</v>
      </c>
      <c r="I36" s="7">
        <v>299.99</v>
      </c>
      <c r="J36" s="2" t="s">
        <v>26</v>
      </c>
      <c r="K36" s="2" t="s">
        <v>63</v>
      </c>
      <c r="L36" s="2" t="s">
        <v>22</v>
      </c>
      <c r="M36" s="3">
        <v>44824</v>
      </c>
      <c r="N36" s="6">
        <v>899.97</v>
      </c>
      <c r="O36" s="4">
        <f t="shared" ca="1" si="0"/>
        <v>46283</v>
      </c>
      <c r="P36" s="5">
        <f t="shared" ca="1" si="2"/>
        <v>46283.764101967594</v>
      </c>
      <c r="Q36" s="13">
        <f t="shared" ca="1" si="1"/>
        <v>3</v>
      </c>
    </row>
    <row r="37" spans="1:17" x14ac:dyDescent="0.25">
      <c r="A37" s="2" t="s">
        <v>136</v>
      </c>
      <c r="B37" s="3">
        <v>45435</v>
      </c>
      <c r="C37" s="2" t="s">
        <v>129</v>
      </c>
      <c r="D37" s="2" t="s">
        <v>130</v>
      </c>
      <c r="E37" s="2" t="s">
        <v>114</v>
      </c>
      <c r="F37" s="2" t="s">
        <v>115</v>
      </c>
      <c r="G37" s="2" t="s">
        <v>33</v>
      </c>
      <c r="H37" s="2">
        <v>3</v>
      </c>
      <c r="I37" s="7">
        <v>79.989999999999995</v>
      </c>
      <c r="J37" s="2" t="s">
        <v>20</v>
      </c>
      <c r="K37" s="2" t="s">
        <v>35</v>
      </c>
      <c r="L37" s="2" t="s">
        <v>22</v>
      </c>
      <c r="M37" s="3">
        <v>45046</v>
      </c>
      <c r="N37" s="6">
        <v>239.97</v>
      </c>
      <c r="O37" s="4">
        <f t="shared" ca="1" si="0"/>
        <v>46283</v>
      </c>
      <c r="P37" s="5">
        <f t="shared" ca="1" si="2"/>
        <v>46283.764101967594</v>
      </c>
      <c r="Q37" s="13">
        <f t="shared" ca="1" si="1"/>
        <v>3</v>
      </c>
    </row>
    <row r="38" spans="1:17" x14ac:dyDescent="0.25">
      <c r="A38" s="2" t="s">
        <v>137</v>
      </c>
      <c r="B38" s="3">
        <v>45438</v>
      </c>
      <c r="C38" s="2" t="s">
        <v>138</v>
      </c>
      <c r="D38" s="2" t="s">
        <v>139</v>
      </c>
      <c r="E38" s="2" t="s">
        <v>126</v>
      </c>
      <c r="F38" s="2" t="s">
        <v>127</v>
      </c>
      <c r="G38" s="2" t="s">
        <v>46</v>
      </c>
      <c r="H38" s="2">
        <v>3</v>
      </c>
      <c r="I38" s="7">
        <v>199.99</v>
      </c>
      <c r="J38" s="2" t="s">
        <v>26</v>
      </c>
      <c r="K38" s="2" t="s">
        <v>40</v>
      </c>
      <c r="L38" s="2" t="s">
        <v>27</v>
      </c>
      <c r="M38" s="3">
        <v>45292</v>
      </c>
      <c r="N38" s="6">
        <v>599.97</v>
      </c>
      <c r="O38" s="4">
        <f t="shared" ca="1" si="0"/>
        <v>46283</v>
      </c>
      <c r="P38" s="5">
        <f t="shared" ca="1" si="2"/>
        <v>46283.764101967594</v>
      </c>
      <c r="Q38" s="13">
        <f t="shared" ca="1" si="1"/>
        <v>2</v>
      </c>
    </row>
    <row r="39" spans="1:17" x14ac:dyDescent="0.25">
      <c r="A39" s="2" t="s">
        <v>140</v>
      </c>
      <c r="B39" s="3">
        <v>45440</v>
      </c>
      <c r="C39" s="2" t="s">
        <v>141</v>
      </c>
      <c r="D39" s="2" t="s">
        <v>142</v>
      </c>
      <c r="E39" s="2" t="s">
        <v>80</v>
      </c>
      <c r="F39" s="2" t="s">
        <v>81</v>
      </c>
      <c r="G39" s="2" t="s">
        <v>19</v>
      </c>
      <c r="H39" s="2">
        <v>5</v>
      </c>
      <c r="I39" s="7">
        <v>699.99</v>
      </c>
      <c r="J39" s="2" t="s">
        <v>34</v>
      </c>
      <c r="K39" s="2" t="s">
        <v>50</v>
      </c>
      <c r="L39" s="2" t="s">
        <v>36</v>
      </c>
      <c r="M39" s="3">
        <v>44407</v>
      </c>
      <c r="N39" s="6">
        <v>3499.95</v>
      </c>
      <c r="O39" s="4">
        <f t="shared" ca="1" si="0"/>
        <v>46283</v>
      </c>
      <c r="P39" s="5">
        <f t="shared" ca="1" si="2"/>
        <v>46283.764101967594</v>
      </c>
      <c r="Q39" s="13">
        <f t="shared" ca="1" si="1"/>
        <v>5</v>
      </c>
    </row>
    <row r="40" spans="1:17" x14ac:dyDescent="0.25">
      <c r="A40" s="2" t="s">
        <v>143</v>
      </c>
      <c r="B40" s="3">
        <v>45441</v>
      </c>
      <c r="C40" s="2" t="s">
        <v>144</v>
      </c>
      <c r="D40" s="2" t="s">
        <v>145</v>
      </c>
      <c r="E40" s="2" t="s">
        <v>117</v>
      </c>
      <c r="F40" s="2" t="s">
        <v>118</v>
      </c>
      <c r="G40" s="2" t="s">
        <v>19</v>
      </c>
      <c r="H40" s="2">
        <v>3</v>
      </c>
      <c r="I40" s="7">
        <v>89.99</v>
      </c>
      <c r="J40" s="2" t="s">
        <v>34</v>
      </c>
      <c r="K40" s="2" t="s">
        <v>21</v>
      </c>
      <c r="L40" s="2" t="s">
        <v>27</v>
      </c>
      <c r="M40" s="3">
        <v>45120</v>
      </c>
      <c r="N40" s="6">
        <v>269.97000000000003</v>
      </c>
      <c r="O40" s="4">
        <f t="shared" ca="1" si="0"/>
        <v>46283</v>
      </c>
      <c r="P40" s="5">
        <f t="shared" ca="1" si="2"/>
        <v>46283.764101967594</v>
      </c>
      <c r="Q40" s="13">
        <f t="shared" ca="1" si="1"/>
        <v>3</v>
      </c>
    </row>
    <row r="41" spans="1:17" x14ac:dyDescent="0.25">
      <c r="A41" s="2" t="s">
        <v>146</v>
      </c>
      <c r="B41" s="3">
        <v>45443</v>
      </c>
      <c r="C41" s="2" t="s">
        <v>147</v>
      </c>
      <c r="D41" s="2" t="s">
        <v>148</v>
      </c>
      <c r="E41" s="2" t="s">
        <v>114</v>
      </c>
      <c r="F41" s="2" t="s">
        <v>115</v>
      </c>
      <c r="G41" s="2" t="s">
        <v>33</v>
      </c>
      <c r="H41" s="2">
        <v>1</v>
      </c>
      <c r="I41" s="7">
        <v>79.989999999999995</v>
      </c>
      <c r="J41" s="2" t="s">
        <v>20</v>
      </c>
      <c r="K41" s="2" t="s">
        <v>40</v>
      </c>
      <c r="L41" s="2" t="s">
        <v>36</v>
      </c>
      <c r="M41" s="3">
        <v>44917</v>
      </c>
      <c r="N41" s="6">
        <v>79.989999999999995</v>
      </c>
      <c r="O41" s="4">
        <f t="shared" ca="1" si="0"/>
        <v>46283</v>
      </c>
      <c r="P41" s="5">
        <f t="shared" ca="1" si="2"/>
        <v>46283.764101967594</v>
      </c>
      <c r="Q41" s="13">
        <f t="shared" ca="1" si="1"/>
        <v>3</v>
      </c>
    </row>
    <row r="42" spans="1:17" x14ac:dyDescent="0.25">
      <c r="A42" s="2" t="s">
        <v>149</v>
      </c>
      <c r="B42" s="3">
        <v>45444</v>
      </c>
      <c r="C42" s="2" t="s">
        <v>150</v>
      </c>
      <c r="D42" s="2" t="s">
        <v>151</v>
      </c>
      <c r="E42" s="2" t="s">
        <v>31</v>
      </c>
      <c r="F42" s="2" t="s">
        <v>32</v>
      </c>
      <c r="G42" s="2" t="s">
        <v>33</v>
      </c>
      <c r="H42" s="2">
        <v>2</v>
      </c>
      <c r="I42" s="7">
        <v>59.99</v>
      </c>
      <c r="J42" s="2" t="s">
        <v>20</v>
      </c>
      <c r="K42" s="2" t="s">
        <v>50</v>
      </c>
      <c r="L42" s="2" t="s">
        <v>22</v>
      </c>
      <c r="M42" s="3">
        <v>45390</v>
      </c>
      <c r="N42" s="6">
        <v>119.98</v>
      </c>
      <c r="O42" s="4">
        <f t="shared" ca="1" si="0"/>
        <v>46283</v>
      </c>
      <c r="P42" s="5">
        <f t="shared" ca="1" si="2"/>
        <v>46283.764101967594</v>
      </c>
      <c r="Q42" s="13">
        <f t="shared" ca="1" si="1"/>
        <v>2</v>
      </c>
    </row>
    <row r="43" spans="1:17" x14ac:dyDescent="0.25">
      <c r="A43" s="2" t="s">
        <v>152</v>
      </c>
      <c r="B43" s="3">
        <v>45444</v>
      </c>
      <c r="C43" s="2" t="s">
        <v>55</v>
      </c>
      <c r="D43" s="2" t="s">
        <v>56</v>
      </c>
      <c r="E43" s="2" t="s">
        <v>117</v>
      </c>
      <c r="F43" s="2" t="s">
        <v>118</v>
      </c>
      <c r="G43" s="2" t="s">
        <v>19</v>
      </c>
      <c r="H43" s="2">
        <v>1</v>
      </c>
      <c r="I43" s="7">
        <v>89.99</v>
      </c>
      <c r="J43" s="2" t="s">
        <v>20</v>
      </c>
      <c r="K43" s="2" t="s">
        <v>40</v>
      </c>
      <c r="L43" s="2" t="s">
        <v>22</v>
      </c>
      <c r="M43" s="3">
        <v>45141</v>
      </c>
      <c r="N43" s="6">
        <v>89.99</v>
      </c>
      <c r="O43" s="4">
        <f t="shared" ca="1" si="0"/>
        <v>46283</v>
      </c>
      <c r="P43" s="5">
        <f t="shared" ca="1" si="2"/>
        <v>46283.764101967594</v>
      </c>
      <c r="Q43" s="13">
        <f t="shared" ca="1" si="1"/>
        <v>3</v>
      </c>
    </row>
    <row r="44" spans="1:17" x14ac:dyDescent="0.25">
      <c r="A44" s="2" t="s">
        <v>153</v>
      </c>
      <c r="B44" s="3">
        <v>45446</v>
      </c>
      <c r="C44" s="2" t="s">
        <v>154</v>
      </c>
      <c r="D44" s="2" t="s">
        <v>155</v>
      </c>
      <c r="E44" s="2" t="s">
        <v>117</v>
      </c>
      <c r="F44" s="2" t="s">
        <v>118</v>
      </c>
      <c r="G44" s="2" t="s">
        <v>19</v>
      </c>
      <c r="H44" s="2">
        <v>5</v>
      </c>
      <c r="I44" s="7">
        <v>89.99</v>
      </c>
      <c r="J44" s="2" t="s">
        <v>26</v>
      </c>
      <c r="K44" s="2" t="s">
        <v>63</v>
      </c>
      <c r="L44" s="2" t="s">
        <v>36</v>
      </c>
      <c r="M44" s="3">
        <v>44587</v>
      </c>
      <c r="N44" s="6">
        <v>449.95</v>
      </c>
      <c r="O44" s="4">
        <f t="shared" ca="1" si="0"/>
        <v>46283</v>
      </c>
      <c r="P44" s="5">
        <f t="shared" ca="1" si="2"/>
        <v>46283.764101967594</v>
      </c>
      <c r="Q44" s="13">
        <f t="shared" ca="1" si="1"/>
        <v>4</v>
      </c>
    </row>
    <row r="45" spans="1:17" x14ac:dyDescent="0.25">
      <c r="A45" s="2" t="s">
        <v>156</v>
      </c>
      <c r="B45" s="3">
        <v>45449</v>
      </c>
      <c r="C45" s="2" t="s">
        <v>24</v>
      </c>
      <c r="D45" s="2" t="s">
        <v>25</v>
      </c>
      <c r="E45" s="2" t="s">
        <v>17</v>
      </c>
      <c r="F45" s="2" t="s">
        <v>18</v>
      </c>
      <c r="G45" s="2" t="s">
        <v>19</v>
      </c>
      <c r="H45" s="2">
        <v>5</v>
      </c>
      <c r="I45" s="7">
        <v>249.99</v>
      </c>
      <c r="J45" s="2" t="s">
        <v>26</v>
      </c>
      <c r="K45" s="2" t="s">
        <v>63</v>
      </c>
      <c r="L45" s="2" t="s">
        <v>36</v>
      </c>
      <c r="M45" s="3">
        <v>44707</v>
      </c>
      <c r="N45" s="6">
        <v>1249.95</v>
      </c>
      <c r="O45" s="4">
        <f t="shared" ca="1" si="0"/>
        <v>46283</v>
      </c>
      <c r="P45" s="5">
        <f t="shared" ca="1" si="2"/>
        <v>46283.764101967594</v>
      </c>
      <c r="Q45" s="13">
        <f t="shared" ca="1" si="1"/>
        <v>4</v>
      </c>
    </row>
    <row r="46" spans="1:17" x14ac:dyDescent="0.25">
      <c r="A46" s="2" t="s">
        <v>157</v>
      </c>
      <c r="B46" s="3">
        <v>45449</v>
      </c>
      <c r="C46" s="2" t="s">
        <v>158</v>
      </c>
      <c r="D46" s="2" t="s">
        <v>159</v>
      </c>
      <c r="E46" s="2" t="s">
        <v>117</v>
      </c>
      <c r="F46" s="2" t="s">
        <v>118</v>
      </c>
      <c r="G46" s="2" t="s">
        <v>19</v>
      </c>
      <c r="H46" s="2">
        <v>1</v>
      </c>
      <c r="I46" s="7">
        <v>89.99</v>
      </c>
      <c r="J46" s="2" t="s">
        <v>26</v>
      </c>
      <c r="K46" s="2" t="s">
        <v>35</v>
      </c>
      <c r="L46" s="2" t="s">
        <v>36</v>
      </c>
      <c r="M46" s="3">
        <v>44582</v>
      </c>
      <c r="N46" s="6">
        <v>89.99</v>
      </c>
      <c r="O46" s="4">
        <f t="shared" ca="1" si="0"/>
        <v>46283</v>
      </c>
      <c r="P46" s="5">
        <f t="shared" ca="1" si="2"/>
        <v>46283.764101967594</v>
      </c>
      <c r="Q46" s="13">
        <f t="shared" ca="1" si="1"/>
        <v>4</v>
      </c>
    </row>
    <row r="47" spans="1:17" x14ac:dyDescent="0.25">
      <c r="A47" s="2" t="s">
        <v>160</v>
      </c>
      <c r="B47" s="3">
        <v>45450</v>
      </c>
      <c r="C47" s="2" t="s">
        <v>42</v>
      </c>
      <c r="D47" s="2" t="s">
        <v>43</v>
      </c>
      <c r="E47" s="2" t="s">
        <v>44</v>
      </c>
      <c r="F47" s="2" t="s">
        <v>45</v>
      </c>
      <c r="G47" s="2" t="s">
        <v>46</v>
      </c>
      <c r="H47" s="2">
        <v>2</v>
      </c>
      <c r="I47" s="7">
        <v>149.99</v>
      </c>
      <c r="J47" s="2" t="s">
        <v>20</v>
      </c>
      <c r="K47" s="2" t="s">
        <v>63</v>
      </c>
      <c r="L47" s="2" t="s">
        <v>27</v>
      </c>
      <c r="M47" s="3">
        <v>44645</v>
      </c>
      <c r="N47" s="6">
        <v>299.98</v>
      </c>
      <c r="O47" s="4">
        <f t="shared" ca="1" si="0"/>
        <v>46283</v>
      </c>
      <c r="P47" s="5">
        <f t="shared" ca="1" si="2"/>
        <v>46283.764101967594</v>
      </c>
      <c r="Q47" s="13">
        <f t="shared" ca="1" si="1"/>
        <v>4</v>
      </c>
    </row>
    <row r="48" spans="1:17" x14ac:dyDescent="0.25">
      <c r="A48" s="2" t="s">
        <v>161</v>
      </c>
      <c r="B48" s="3">
        <v>45452</v>
      </c>
      <c r="C48" s="2" t="s">
        <v>162</v>
      </c>
      <c r="D48" s="2" t="s">
        <v>163</v>
      </c>
      <c r="E48" s="2" t="s">
        <v>31</v>
      </c>
      <c r="F48" s="2" t="s">
        <v>32</v>
      </c>
      <c r="G48" s="2" t="s">
        <v>33</v>
      </c>
      <c r="H48" s="2">
        <v>4</v>
      </c>
      <c r="I48" s="7">
        <v>59.99</v>
      </c>
      <c r="J48" s="2" t="s">
        <v>20</v>
      </c>
      <c r="K48" s="2" t="s">
        <v>63</v>
      </c>
      <c r="L48" s="2" t="s">
        <v>36</v>
      </c>
      <c r="M48" s="3">
        <v>44435</v>
      </c>
      <c r="N48" s="6">
        <v>239.96</v>
      </c>
      <c r="O48" s="4">
        <f t="shared" ca="1" si="0"/>
        <v>46283</v>
      </c>
      <c r="P48" s="5">
        <f t="shared" ca="1" si="2"/>
        <v>46283.764101967594</v>
      </c>
      <c r="Q48" s="13">
        <f t="shared" ca="1" si="1"/>
        <v>5</v>
      </c>
    </row>
    <row r="49" spans="1:17" x14ac:dyDescent="0.25">
      <c r="A49" s="2" t="s">
        <v>164</v>
      </c>
      <c r="B49" s="3">
        <v>45456</v>
      </c>
      <c r="C49" s="2" t="s">
        <v>129</v>
      </c>
      <c r="D49" s="2" t="s">
        <v>130</v>
      </c>
      <c r="E49" s="2" t="s">
        <v>117</v>
      </c>
      <c r="F49" s="2" t="s">
        <v>118</v>
      </c>
      <c r="G49" s="2" t="s">
        <v>19</v>
      </c>
      <c r="H49" s="2">
        <v>5</v>
      </c>
      <c r="I49" s="7">
        <v>89.99</v>
      </c>
      <c r="J49" s="2" t="s">
        <v>20</v>
      </c>
      <c r="K49" s="2" t="s">
        <v>21</v>
      </c>
      <c r="L49" s="2" t="s">
        <v>27</v>
      </c>
      <c r="M49" s="3">
        <v>44579</v>
      </c>
      <c r="N49" s="6">
        <v>449.95</v>
      </c>
      <c r="O49" s="4">
        <f t="shared" ca="1" si="0"/>
        <v>46283</v>
      </c>
      <c r="P49" s="5">
        <f t="shared" ca="1" si="2"/>
        <v>46283.764101967594</v>
      </c>
      <c r="Q49" s="13">
        <f t="shared" ca="1" si="1"/>
        <v>4</v>
      </c>
    </row>
    <row r="50" spans="1:17" x14ac:dyDescent="0.25">
      <c r="A50" s="2" t="s">
        <v>165</v>
      </c>
      <c r="B50" s="3">
        <v>45459</v>
      </c>
      <c r="C50" s="2" t="s">
        <v>99</v>
      </c>
      <c r="D50" s="2" t="s">
        <v>100</v>
      </c>
      <c r="E50" s="2" t="s">
        <v>117</v>
      </c>
      <c r="F50" s="2" t="s">
        <v>118</v>
      </c>
      <c r="G50" s="2" t="s">
        <v>19</v>
      </c>
      <c r="H50" s="2">
        <v>2</v>
      </c>
      <c r="I50" s="7">
        <v>89.99</v>
      </c>
      <c r="J50" s="2" t="s">
        <v>26</v>
      </c>
      <c r="K50" s="2" t="s">
        <v>35</v>
      </c>
      <c r="L50" s="2" t="s">
        <v>27</v>
      </c>
      <c r="M50" s="3">
        <v>44471</v>
      </c>
      <c r="N50" s="6">
        <v>179.98</v>
      </c>
      <c r="O50" s="4">
        <f t="shared" ca="1" si="0"/>
        <v>46283</v>
      </c>
      <c r="P50" s="5">
        <f t="shared" ca="1" si="2"/>
        <v>46283.764101967594</v>
      </c>
      <c r="Q50" s="13">
        <f t="shared" ca="1" si="1"/>
        <v>4</v>
      </c>
    </row>
    <row r="51" spans="1:17" x14ac:dyDescent="0.25">
      <c r="A51" s="2" t="s">
        <v>166</v>
      </c>
      <c r="B51" s="3">
        <v>45459</v>
      </c>
      <c r="C51" s="2" t="s">
        <v>15</v>
      </c>
      <c r="D51" s="2" t="s">
        <v>16</v>
      </c>
      <c r="E51" s="2" t="s">
        <v>61</v>
      </c>
      <c r="F51" s="2" t="s">
        <v>62</v>
      </c>
      <c r="G51" s="2" t="s">
        <v>19</v>
      </c>
      <c r="H51" s="2">
        <v>5</v>
      </c>
      <c r="I51" s="7">
        <v>899.99</v>
      </c>
      <c r="J51" s="2" t="s">
        <v>26</v>
      </c>
      <c r="K51" s="2" t="s">
        <v>35</v>
      </c>
      <c r="L51" s="2" t="s">
        <v>36</v>
      </c>
      <c r="M51" s="3">
        <v>44974</v>
      </c>
      <c r="N51" s="6">
        <v>4499.95</v>
      </c>
      <c r="O51" s="4">
        <f t="shared" ca="1" si="0"/>
        <v>46283</v>
      </c>
      <c r="P51" s="5">
        <f t="shared" ca="1" si="2"/>
        <v>46283.764101967594</v>
      </c>
      <c r="Q51" s="13">
        <f t="shared" ca="1" si="1"/>
        <v>3</v>
      </c>
    </row>
    <row r="52" spans="1:17" x14ac:dyDescent="0.25">
      <c r="A52" s="2" t="s">
        <v>167</v>
      </c>
      <c r="B52" s="3">
        <v>45459</v>
      </c>
      <c r="C52" s="2" t="s">
        <v>123</v>
      </c>
      <c r="D52" s="2" t="s">
        <v>124</v>
      </c>
      <c r="E52" s="2" t="s">
        <v>61</v>
      </c>
      <c r="F52" s="2" t="s">
        <v>62</v>
      </c>
      <c r="G52" s="2" t="s">
        <v>19</v>
      </c>
      <c r="H52" s="2">
        <v>5</v>
      </c>
      <c r="I52" s="7">
        <v>899.99</v>
      </c>
      <c r="J52" s="2" t="s">
        <v>34</v>
      </c>
      <c r="K52" s="2" t="s">
        <v>63</v>
      </c>
      <c r="L52" s="2" t="s">
        <v>27</v>
      </c>
      <c r="M52" s="3">
        <v>45278</v>
      </c>
      <c r="N52" s="6">
        <v>4499.95</v>
      </c>
      <c r="O52" s="4">
        <f t="shared" ca="1" si="0"/>
        <v>46283</v>
      </c>
      <c r="P52" s="5">
        <f t="shared" ca="1" si="2"/>
        <v>46283.764101967594</v>
      </c>
      <c r="Q52" s="13">
        <f t="shared" ca="1" si="1"/>
        <v>2</v>
      </c>
    </row>
    <row r="53" spans="1:17" x14ac:dyDescent="0.25">
      <c r="A53" s="2" t="s">
        <v>168</v>
      </c>
      <c r="B53" s="3">
        <v>45460</v>
      </c>
      <c r="C53" s="2" t="s">
        <v>158</v>
      </c>
      <c r="D53" s="2" t="s">
        <v>159</v>
      </c>
      <c r="E53" s="2" t="s">
        <v>31</v>
      </c>
      <c r="F53" s="2" t="s">
        <v>32</v>
      </c>
      <c r="G53" s="2" t="s">
        <v>33</v>
      </c>
      <c r="H53" s="2">
        <v>1</v>
      </c>
      <c r="I53" s="7">
        <v>59.99</v>
      </c>
      <c r="J53" s="2" t="s">
        <v>57</v>
      </c>
      <c r="K53" s="2" t="s">
        <v>50</v>
      </c>
      <c r="L53" s="2" t="s">
        <v>27</v>
      </c>
      <c r="M53" s="3">
        <v>45190</v>
      </c>
      <c r="N53" s="6">
        <v>59.99</v>
      </c>
      <c r="O53" s="4">
        <f t="shared" ca="1" si="0"/>
        <v>46283</v>
      </c>
      <c r="P53" s="5">
        <f t="shared" ca="1" si="2"/>
        <v>46283.764101967594</v>
      </c>
      <c r="Q53" s="13">
        <f t="shared" ca="1" si="1"/>
        <v>2</v>
      </c>
    </row>
    <row r="54" spans="1:17" x14ac:dyDescent="0.25">
      <c r="A54" s="2" t="s">
        <v>169</v>
      </c>
      <c r="B54" s="3">
        <v>45460</v>
      </c>
      <c r="C54" s="2" t="s">
        <v>141</v>
      </c>
      <c r="D54" s="2" t="s">
        <v>142</v>
      </c>
      <c r="E54" s="2" t="s">
        <v>105</v>
      </c>
      <c r="F54" s="2" t="s">
        <v>106</v>
      </c>
      <c r="G54" s="2" t="s">
        <v>46</v>
      </c>
      <c r="H54" s="2">
        <v>2</v>
      </c>
      <c r="I54" s="7">
        <v>299.99</v>
      </c>
      <c r="J54" s="2" t="s">
        <v>57</v>
      </c>
      <c r="K54" s="2" t="s">
        <v>63</v>
      </c>
      <c r="L54" s="2" t="s">
        <v>36</v>
      </c>
      <c r="M54" s="3">
        <v>45253</v>
      </c>
      <c r="N54" s="6">
        <v>599.98</v>
      </c>
      <c r="O54" s="4">
        <f t="shared" ca="1" si="0"/>
        <v>46283</v>
      </c>
      <c r="P54" s="5">
        <f t="shared" ca="1" si="2"/>
        <v>46283.764101967594</v>
      </c>
      <c r="Q54" s="13">
        <f t="shared" ca="1" si="1"/>
        <v>2</v>
      </c>
    </row>
    <row r="55" spans="1:17" x14ac:dyDescent="0.25">
      <c r="A55" s="2" t="s">
        <v>170</v>
      </c>
      <c r="B55" s="3">
        <v>45468</v>
      </c>
      <c r="C55" s="2" t="s">
        <v>171</v>
      </c>
      <c r="D55" s="2" t="s">
        <v>172</v>
      </c>
      <c r="E55" s="2" t="s">
        <v>117</v>
      </c>
      <c r="F55" s="2" t="s">
        <v>118</v>
      </c>
      <c r="G55" s="2" t="s">
        <v>19</v>
      </c>
      <c r="H55" s="2">
        <v>4</v>
      </c>
      <c r="I55" s="7">
        <v>89.99</v>
      </c>
      <c r="J55" s="2" t="s">
        <v>57</v>
      </c>
      <c r="K55" s="2" t="s">
        <v>35</v>
      </c>
      <c r="L55" s="2" t="s">
        <v>22</v>
      </c>
      <c r="M55" s="3">
        <v>45281</v>
      </c>
      <c r="N55" s="6">
        <v>359.96</v>
      </c>
      <c r="O55" s="4">
        <f t="shared" ca="1" si="0"/>
        <v>46283</v>
      </c>
      <c r="P55" s="5">
        <f t="shared" ca="1" si="2"/>
        <v>46283.764101967594</v>
      </c>
      <c r="Q55" s="13">
        <f t="shared" ca="1" si="1"/>
        <v>2</v>
      </c>
    </row>
    <row r="56" spans="1:17" x14ac:dyDescent="0.25">
      <c r="A56" s="2" t="s">
        <v>173</v>
      </c>
      <c r="B56" s="3">
        <v>45469</v>
      </c>
      <c r="C56" s="2" t="s">
        <v>29</v>
      </c>
      <c r="D56" s="2" t="s">
        <v>30</v>
      </c>
      <c r="E56" s="2" t="s">
        <v>114</v>
      </c>
      <c r="F56" s="2" t="s">
        <v>115</v>
      </c>
      <c r="G56" s="2" t="s">
        <v>33</v>
      </c>
      <c r="H56" s="2">
        <v>1</v>
      </c>
      <c r="I56" s="7">
        <v>79.989999999999995</v>
      </c>
      <c r="J56" s="2" t="s">
        <v>34</v>
      </c>
      <c r="K56" s="2" t="s">
        <v>21</v>
      </c>
      <c r="L56" s="2" t="s">
        <v>27</v>
      </c>
      <c r="M56" s="3">
        <v>45352</v>
      </c>
      <c r="N56" s="6">
        <v>79.989999999999995</v>
      </c>
      <c r="O56" s="4">
        <f t="shared" ca="1" si="0"/>
        <v>46283</v>
      </c>
      <c r="P56" s="5">
        <f t="shared" ca="1" si="2"/>
        <v>46283.764101967594</v>
      </c>
      <c r="Q56" s="13">
        <f t="shared" ca="1" si="1"/>
        <v>2</v>
      </c>
    </row>
    <row r="57" spans="1:17" x14ac:dyDescent="0.25">
      <c r="A57" s="2" t="s">
        <v>174</v>
      </c>
      <c r="B57" s="3">
        <v>45469</v>
      </c>
      <c r="C57" s="2" t="s">
        <v>59</v>
      </c>
      <c r="D57" s="2" t="s">
        <v>60</v>
      </c>
      <c r="E57" s="2" t="s">
        <v>117</v>
      </c>
      <c r="F57" s="2" t="s">
        <v>118</v>
      </c>
      <c r="G57" s="2" t="s">
        <v>19</v>
      </c>
      <c r="H57" s="2">
        <v>2</v>
      </c>
      <c r="I57" s="7">
        <v>89.99</v>
      </c>
      <c r="J57" s="2" t="s">
        <v>20</v>
      </c>
      <c r="K57" s="2" t="s">
        <v>50</v>
      </c>
      <c r="L57" s="2" t="s">
        <v>22</v>
      </c>
      <c r="M57" s="3">
        <v>44438</v>
      </c>
      <c r="N57" s="6">
        <v>179.98</v>
      </c>
      <c r="O57" s="4">
        <f t="shared" ca="1" si="0"/>
        <v>46283</v>
      </c>
      <c r="P57" s="5">
        <f t="shared" ca="1" si="2"/>
        <v>46283.764101967594</v>
      </c>
      <c r="Q57" s="13">
        <f t="shared" ca="1" si="1"/>
        <v>5</v>
      </c>
    </row>
    <row r="58" spans="1:17" x14ac:dyDescent="0.25">
      <c r="A58" s="2" t="s">
        <v>175</v>
      </c>
      <c r="B58" s="3">
        <v>45471</v>
      </c>
      <c r="C58" s="2" t="s">
        <v>38</v>
      </c>
      <c r="D58" s="2" t="s">
        <v>39</v>
      </c>
      <c r="E58" s="2" t="s">
        <v>80</v>
      </c>
      <c r="F58" s="2" t="s">
        <v>81</v>
      </c>
      <c r="G58" s="2" t="s">
        <v>19</v>
      </c>
      <c r="H58" s="2">
        <v>3</v>
      </c>
      <c r="I58" s="7">
        <v>699.99</v>
      </c>
      <c r="J58" s="2" t="s">
        <v>26</v>
      </c>
      <c r="K58" s="2" t="s">
        <v>63</v>
      </c>
      <c r="L58" s="2" t="s">
        <v>27</v>
      </c>
      <c r="M58" s="3">
        <v>45102</v>
      </c>
      <c r="N58" s="6">
        <v>2099.9699999999998</v>
      </c>
      <c r="O58" s="4">
        <f t="shared" ca="1" si="0"/>
        <v>46283</v>
      </c>
      <c r="P58" s="5">
        <f t="shared" ca="1" si="2"/>
        <v>46283.764101967594</v>
      </c>
      <c r="Q58" s="13">
        <f t="shared" ca="1" si="1"/>
        <v>3</v>
      </c>
    </row>
    <row r="59" spans="1:17" x14ac:dyDescent="0.25">
      <c r="A59" s="2" t="s">
        <v>176</v>
      </c>
      <c r="B59" s="3">
        <v>45471</v>
      </c>
      <c r="C59" s="2" t="s">
        <v>99</v>
      </c>
      <c r="D59" s="2" t="s">
        <v>100</v>
      </c>
      <c r="E59" s="2" t="s">
        <v>61</v>
      </c>
      <c r="F59" s="2" t="s">
        <v>62</v>
      </c>
      <c r="G59" s="2" t="s">
        <v>19</v>
      </c>
      <c r="H59" s="2">
        <v>4</v>
      </c>
      <c r="I59" s="7">
        <v>899.99</v>
      </c>
      <c r="J59" s="2" t="s">
        <v>26</v>
      </c>
      <c r="K59" s="2" t="s">
        <v>63</v>
      </c>
      <c r="L59" s="2" t="s">
        <v>27</v>
      </c>
      <c r="M59" s="3">
        <v>44993</v>
      </c>
      <c r="N59" s="6">
        <v>3599.96</v>
      </c>
      <c r="O59" s="4">
        <f t="shared" ca="1" si="0"/>
        <v>46283</v>
      </c>
      <c r="P59" s="5">
        <f t="shared" ca="1" si="2"/>
        <v>46283.764101967594</v>
      </c>
      <c r="Q59" s="13">
        <f t="shared" ca="1" si="1"/>
        <v>3</v>
      </c>
    </row>
    <row r="60" spans="1:17" x14ac:dyDescent="0.25">
      <c r="A60" s="2" t="s">
        <v>177</v>
      </c>
      <c r="B60" s="3">
        <v>45472</v>
      </c>
      <c r="C60" s="2" t="s">
        <v>120</v>
      </c>
      <c r="D60" s="2" t="s">
        <v>121</v>
      </c>
      <c r="E60" s="2" t="s">
        <v>44</v>
      </c>
      <c r="F60" s="2" t="s">
        <v>45</v>
      </c>
      <c r="G60" s="2" t="s">
        <v>46</v>
      </c>
      <c r="H60" s="2">
        <v>1</v>
      </c>
      <c r="I60" s="7">
        <v>149.99</v>
      </c>
      <c r="J60" s="2" t="s">
        <v>34</v>
      </c>
      <c r="K60" s="2" t="s">
        <v>63</v>
      </c>
      <c r="L60" s="2" t="s">
        <v>22</v>
      </c>
      <c r="M60" s="3">
        <v>44851</v>
      </c>
      <c r="N60" s="6">
        <v>149.99</v>
      </c>
      <c r="O60" s="4">
        <f t="shared" ca="1" si="0"/>
        <v>46283</v>
      </c>
      <c r="P60" s="5">
        <f t="shared" ca="1" si="2"/>
        <v>46283.764101967594</v>
      </c>
      <c r="Q60" s="13">
        <f t="shared" ca="1" si="1"/>
        <v>3</v>
      </c>
    </row>
    <row r="61" spans="1:17" x14ac:dyDescent="0.25">
      <c r="A61" s="2" t="s">
        <v>178</v>
      </c>
      <c r="B61" s="3">
        <v>45474</v>
      </c>
      <c r="C61" s="2" t="s">
        <v>132</v>
      </c>
      <c r="D61" s="2" t="s">
        <v>133</v>
      </c>
      <c r="E61" s="2" t="s">
        <v>117</v>
      </c>
      <c r="F61" s="2" t="s">
        <v>118</v>
      </c>
      <c r="G61" s="2" t="s">
        <v>19</v>
      </c>
      <c r="H61" s="2">
        <v>2</v>
      </c>
      <c r="I61" s="7">
        <v>89.99</v>
      </c>
      <c r="J61" s="2" t="s">
        <v>34</v>
      </c>
      <c r="K61" s="2" t="s">
        <v>21</v>
      </c>
      <c r="L61" s="2" t="s">
        <v>27</v>
      </c>
      <c r="M61" s="3">
        <v>45275</v>
      </c>
      <c r="N61" s="6">
        <v>179.98</v>
      </c>
      <c r="O61" s="4">
        <f t="shared" ca="1" si="0"/>
        <v>46283</v>
      </c>
      <c r="P61" s="5">
        <f t="shared" ca="1" si="2"/>
        <v>46283.764101967594</v>
      </c>
      <c r="Q61" s="13">
        <f t="shared" ca="1" si="1"/>
        <v>2</v>
      </c>
    </row>
    <row r="62" spans="1:17" x14ac:dyDescent="0.25">
      <c r="A62" s="2" t="s">
        <v>179</v>
      </c>
      <c r="B62" s="3">
        <v>45475</v>
      </c>
      <c r="C62" s="2" t="s">
        <v>55</v>
      </c>
      <c r="D62" s="2" t="s">
        <v>56</v>
      </c>
      <c r="E62" s="2" t="s">
        <v>117</v>
      </c>
      <c r="F62" s="2" t="s">
        <v>118</v>
      </c>
      <c r="G62" s="2" t="s">
        <v>19</v>
      </c>
      <c r="H62" s="2">
        <v>1</v>
      </c>
      <c r="I62" s="7">
        <v>89.99</v>
      </c>
      <c r="J62" s="2" t="s">
        <v>34</v>
      </c>
      <c r="K62" s="2" t="s">
        <v>50</v>
      </c>
      <c r="L62" s="2" t="s">
        <v>36</v>
      </c>
      <c r="M62" s="3">
        <v>44802</v>
      </c>
      <c r="N62" s="6">
        <v>89.99</v>
      </c>
      <c r="O62" s="4">
        <f t="shared" ca="1" si="0"/>
        <v>46283</v>
      </c>
      <c r="P62" s="5">
        <f t="shared" ca="1" si="2"/>
        <v>46283.764101967594</v>
      </c>
      <c r="Q62" s="13">
        <f t="shared" ca="1" si="1"/>
        <v>4</v>
      </c>
    </row>
    <row r="63" spans="1:17" x14ac:dyDescent="0.25">
      <c r="A63" s="2" t="s">
        <v>180</v>
      </c>
      <c r="B63" s="3">
        <v>45476</v>
      </c>
      <c r="C63" s="2" t="s">
        <v>68</v>
      </c>
      <c r="D63" s="2" t="s">
        <v>69</v>
      </c>
      <c r="E63" s="2" t="s">
        <v>117</v>
      </c>
      <c r="F63" s="2" t="s">
        <v>118</v>
      </c>
      <c r="G63" s="2" t="s">
        <v>19</v>
      </c>
      <c r="H63" s="2">
        <v>1</v>
      </c>
      <c r="I63" s="7">
        <v>89.99</v>
      </c>
      <c r="J63" s="2" t="s">
        <v>20</v>
      </c>
      <c r="K63" s="2" t="s">
        <v>35</v>
      </c>
      <c r="L63" s="2" t="s">
        <v>36</v>
      </c>
      <c r="M63" s="3">
        <v>44611</v>
      </c>
      <c r="N63" s="6">
        <v>89.99</v>
      </c>
      <c r="O63" s="4">
        <f t="shared" ca="1" si="0"/>
        <v>46283</v>
      </c>
      <c r="P63" s="5">
        <f t="shared" ca="1" si="2"/>
        <v>46283.764101967594</v>
      </c>
      <c r="Q63" s="13">
        <f t="shared" ca="1" si="1"/>
        <v>4</v>
      </c>
    </row>
    <row r="64" spans="1:17" x14ac:dyDescent="0.25">
      <c r="A64" s="2" t="s">
        <v>181</v>
      </c>
      <c r="B64" s="3">
        <v>45476</v>
      </c>
      <c r="C64" s="2" t="s">
        <v>182</v>
      </c>
      <c r="D64" s="2" t="s">
        <v>183</v>
      </c>
      <c r="E64" s="2" t="s">
        <v>114</v>
      </c>
      <c r="F64" s="2" t="s">
        <v>115</v>
      </c>
      <c r="G64" s="2" t="s">
        <v>33</v>
      </c>
      <c r="H64" s="2">
        <v>5</v>
      </c>
      <c r="I64" s="7">
        <v>79.989999999999995</v>
      </c>
      <c r="J64" s="2" t="s">
        <v>57</v>
      </c>
      <c r="K64" s="2" t="s">
        <v>21</v>
      </c>
      <c r="L64" s="2" t="s">
        <v>22</v>
      </c>
      <c r="M64" s="3">
        <v>44981</v>
      </c>
      <c r="N64" s="6">
        <v>399.95</v>
      </c>
      <c r="O64" s="4">
        <f t="shared" ca="1" si="0"/>
        <v>46283</v>
      </c>
      <c r="P64" s="5">
        <f t="shared" ca="1" si="2"/>
        <v>46283.764101967594</v>
      </c>
      <c r="Q64" s="13">
        <f t="shared" ca="1" si="1"/>
        <v>3</v>
      </c>
    </row>
    <row r="65" spans="1:17" x14ac:dyDescent="0.25">
      <c r="A65" s="2" t="s">
        <v>184</v>
      </c>
      <c r="B65" s="3">
        <v>45481</v>
      </c>
      <c r="C65" s="2" t="s">
        <v>185</v>
      </c>
      <c r="D65" s="2" t="s">
        <v>186</v>
      </c>
      <c r="E65" s="2" t="s">
        <v>44</v>
      </c>
      <c r="F65" s="2" t="s">
        <v>45</v>
      </c>
      <c r="G65" s="2" t="s">
        <v>46</v>
      </c>
      <c r="H65" s="2">
        <v>1</v>
      </c>
      <c r="I65" s="7">
        <v>149.99</v>
      </c>
      <c r="J65" s="2" t="s">
        <v>34</v>
      </c>
      <c r="K65" s="2" t="s">
        <v>40</v>
      </c>
      <c r="L65" s="2" t="s">
        <v>22</v>
      </c>
      <c r="M65" s="3">
        <v>44421</v>
      </c>
      <c r="N65" s="6">
        <v>149.99</v>
      </c>
      <c r="O65" s="4">
        <f t="shared" ca="1" si="0"/>
        <v>46283</v>
      </c>
      <c r="P65" s="5">
        <f t="shared" ca="1" si="2"/>
        <v>46283.764101967594</v>
      </c>
      <c r="Q65" s="13">
        <f t="shared" ca="1" si="1"/>
        <v>5</v>
      </c>
    </row>
    <row r="66" spans="1:17" x14ac:dyDescent="0.25">
      <c r="A66" s="2" t="s">
        <v>187</v>
      </c>
      <c r="B66" s="3">
        <v>45481</v>
      </c>
      <c r="C66" s="2" t="s">
        <v>42</v>
      </c>
      <c r="D66" s="2" t="s">
        <v>43</v>
      </c>
      <c r="E66" s="2" t="s">
        <v>80</v>
      </c>
      <c r="F66" s="2" t="s">
        <v>81</v>
      </c>
      <c r="G66" s="2" t="s">
        <v>19</v>
      </c>
      <c r="H66" s="2">
        <v>2</v>
      </c>
      <c r="I66" s="7">
        <v>699.99</v>
      </c>
      <c r="J66" s="2" t="s">
        <v>34</v>
      </c>
      <c r="K66" s="2" t="s">
        <v>63</v>
      </c>
      <c r="L66" s="2" t="s">
        <v>27</v>
      </c>
      <c r="M66" s="3">
        <v>45389</v>
      </c>
      <c r="N66" s="6">
        <v>1399.98</v>
      </c>
      <c r="O66" s="4">
        <f t="shared" ca="1" si="0"/>
        <v>46283</v>
      </c>
      <c r="P66" s="5">
        <f t="shared" ca="1" si="2"/>
        <v>46283.764101967594</v>
      </c>
      <c r="Q66" s="13">
        <f t="shared" ca="1" si="1"/>
        <v>2</v>
      </c>
    </row>
    <row r="67" spans="1:17" x14ac:dyDescent="0.25">
      <c r="A67" s="2" t="s">
        <v>188</v>
      </c>
      <c r="B67" s="3">
        <v>45481</v>
      </c>
      <c r="C67" s="2" t="s">
        <v>96</v>
      </c>
      <c r="D67" s="2" t="s">
        <v>97</v>
      </c>
      <c r="E67" s="2" t="s">
        <v>117</v>
      </c>
      <c r="F67" s="2" t="s">
        <v>118</v>
      </c>
      <c r="G67" s="2" t="s">
        <v>19</v>
      </c>
      <c r="H67" s="2">
        <v>5</v>
      </c>
      <c r="I67" s="7">
        <v>89.99</v>
      </c>
      <c r="J67" s="2" t="s">
        <v>57</v>
      </c>
      <c r="K67" s="2" t="s">
        <v>40</v>
      </c>
      <c r="L67" s="2" t="s">
        <v>27</v>
      </c>
      <c r="M67" s="3">
        <v>45161</v>
      </c>
      <c r="N67" s="6">
        <v>449.95</v>
      </c>
      <c r="O67" s="4">
        <f t="shared" ref="O67:O130" ca="1" si="3">TODAY()</f>
        <v>46283</v>
      </c>
      <c r="P67" s="5">
        <f t="shared" ref="P67:P130" ca="1" si="4">NOW()</f>
        <v>46283.764101967594</v>
      </c>
      <c r="Q67" s="13">
        <f t="shared" ref="Q67:Q130" ca="1" si="5">DATEDIF(M67, $O$2, "Y")</f>
        <v>3</v>
      </c>
    </row>
    <row r="68" spans="1:17" x14ac:dyDescent="0.25">
      <c r="A68" s="2" t="s">
        <v>189</v>
      </c>
      <c r="B68" s="3">
        <v>45482</v>
      </c>
      <c r="C68" s="2" t="s">
        <v>171</v>
      </c>
      <c r="D68" s="2" t="s">
        <v>172</v>
      </c>
      <c r="E68" s="2" t="s">
        <v>31</v>
      </c>
      <c r="F68" s="2" t="s">
        <v>32</v>
      </c>
      <c r="G68" s="2" t="s">
        <v>33</v>
      </c>
      <c r="H68" s="2">
        <v>4</v>
      </c>
      <c r="I68" s="7">
        <v>59.99</v>
      </c>
      <c r="J68" s="2" t="s">
        <v>20</v>
      </c>
      <c r="K68" s="2" t="s">
        <v>35</v>
      </c>
      <c r="L68" s="2" t="s">
        <v>36</v>
      </c>
      <c r="M68" s="3">
        <v>44509</v>
      </c>
      <c r="N68" s="6">
        <v>239.96</v>
      </c>
      <c r="O68" s="4">
        <f t="shared" ca="1" si="3"/>
        <v>46283</v>
      </c>
      <c r="P68" s="5">
        <f t="shared" ca="1" si="4"/>
        <v>46283.764101967594</v>
      </c>
      <c r="Q68" s="13">
        <f t="shared" ca="1" si="5"/>
        <v>4</v>
      </c>
    </row>
    <row r="69" spans="1:17" x14ac:dyDescent="0.25">
      <c r="A69" s="2" t="s">
        <v>190</v>
      </c>
      <c r="B69" s="3">
        <v>45484</v>
      </c>
      <c r="C69" s="2" t="s">
        <v>24</v>
      </c>
      <c r="D69" s="2" t="s">
        <v>25</v>
      </c>
      <c r="E69" s="2" t="s">
        <v>52</v>
      </c>
      <c r="F69" s="2" t="s">
        <v>53</v>
      </c>
      <c r="G69" s="2" t="s">
        <v>19</v>
      </c>
      <c r="H69" s="2">
        <v>1</v>
      </c>
      <c r="I69" s="7">
        <v>149.99</v>
      </c>
      <c r="J69" s="2" t="s">
        <v>20</v>
      </c>
      <c r="K69" s="2" t="s">
        <v>21</v>
      </c>
      <c r="L69" s="2" t="s">
        <v>36</v>
      </c>
      <c r="M69" s="3">
        <v>44909</v>
      </c>
      <c r="N69" s="6">
        <v>149.99</v>
      </c>
      <c r="O69" s="4">
        <f t="shared" ca="1" si="3"/>
        <v>46283</v>
      </c>
      <c r="P69" s="5">
        <f t="shared" ca="1" si="4"/>
        <v>46283.764101967594</v>
      </c>
      <c r="Q69" s="13">
        <f t="shared" ca="1" si="5"/>
        <v>3</v>
      </c>
    </row>
    <row r="70" spans="1:17" x14ac:dyDescent="0.25">
      <c r="A70" s="2" t="s">
        <v>191</v>
      </c>
      <c r="B70" s="3">
        <v>45484</v>
      </c>
      <c r="C70" s="2" t="s">
        <v>192</v>
      </c>
      <c r="D70" s="2" t="s">
        <v>193</v>
      </c>
      <c r="E70" s="2" t="s">
        <v>105</v>
      </c>
      <c r="F70" s="2" t="s">
        <v>106</v>
      </c>
      <c r="G70" s="2" t="s">
        <v>46</v>
      </c>
      <c r="H70" s="2">
        <v>1</v>
      </c>
      <c r="I70" s="7">
        <v>299.99</v>
      </c>
      <c r="J70" s="2" t="s">
        <v>26</v>
      </c>
      <c r="K70" s="2" t="s">
        <v>40</v>
      </c>
      <c r="L70" s="2" t="s">
        <v>27</v>
      </c>
      <c r="M70" s="3">
        <v>44891</v>
      </c>
      <c r="N70" s="6">
        <v>299.99</v>
      </c>
      <c r="O70" s="4">
        <f t="shared" ca="1" si="3"/>
        <v>46283</v>
      </c>
      <c r="P70" s="5">
        <f t="shared" ca="1" si="4"/>
        <v>46283.764101967594</v>
      </c>
      <c r="Q70" s="13">
        <f t="shared" ca="1" si="5"/>
        <v>3</v>
      </c>
    </row>
    <row r="71" spans="1:17" x14ac:dyDescent="0.25">
      <c r="A71" s="2" t="s">
        <v>194</v>
      </c>
      <c r="B71" s="3">
        <v>45487</v>
      </c>
      <c r="C71" s="2" t="s">
        <v>192</v>
      </c>
      <c r="D71" s="2" t="s">
        <v>193</v>
      </c>
      <c r="E71" s="2" t="s">
        <v>126</v>
      </c>
      <c r="F71" s="2" t="s">
        <v>127</v>
      </c>
      <c r="G71" s="2" t="s">
        <v>46</v>
      </c>
      <c r="H71" s="2">
        <v>2</v>
      </c>
      <c r="I71" s="7">
        <v>199.99</v>
      </c>
      <c r="J71" s="2" t="s">
        <v>20</v>
      </c>
      <c r="K71" s="2" t="s">
        <v>40</v>
      </c>
      <c r="L71" s="2" t="s">
        <v>22</v>
      </c>
      <c r="M71" s="3">
        <v>44541</v>
      </c>
      <c r="N71" s="6">
        <v>399.98</v>
      </c>
      <c r="O71" s="4">
        <f t="shared" ca="1" si="3"/>
        <v>46283</v>
      </c>
      <c r="P71" s="5">
        <f t="shared" ca="1" si="4"/>
        <v>46283.764101967594</v>
      </c>
      <c r="Q71" s="13">
        <f t="shared" ca="1" si="5"/>
        <v>4</v>
      </c>
    </row>
    <row r="72" spans="1:17" x14ac:dyDescent="0.25">
      <c r="A72" s="2" t="s">
        <v>195</v>
      </c>
      <c r="B72" s="3">
        <v>45490</v>
      </c>
      <c r="C72" s="2" t="s">
        <v>196</v>
      </c>
      <c r="D72" s="2" t="s">
        <v>197</v>
      </c>
      <c r="E72" s="2" t="s">
        <v>31</v>
      </c>
      <c r="F72" s="2" t="s">
        <v>32</v>
      </c>
      <c r="G72" s="2" t="s">
        <v>33</v>
      </c>
      <c r="H72" s="2">
        <v>3</v>
      </c>
      <c r="I72" s="7">
        <v>59.99</v>
      </c>
      <c r="J72" s="2" t="s">
        <v>26</v>
      </c>
      <c r="K72" s="2" t="s">
        <v>50</v>
      </c>
      <c r="L72" s="2" t="s">
        <v>22</v>
      </c>
      <c r="M72" s="3">
        <v>45130</v>
      </c>
      <c r="N72" s="6">
        <v>179.97</v>
      </c>
      <c r="O72" s="4">
        <f t="shared" ca="1" si="3"/>
        <v>46283</v>
      </c>
      <c r="P72" s="5">
        <f t="shared" ca="1" si="4"/>
        <v>46283.764101967594</v>
      </c>
      <c r="Q72" s="13">
        <f t="shared" ca="1" si="5"/>
        <v>3</v>
      </c>
    </row>
    <row r="73" spans="1:17" x14ac:dyDescent="0.25">
      <c r="A73" s="2" t="s">
        <v>198</v>
      </c>
      <c r="B73" s="3">
        <v>45490</v>
      </c>
      <c r="C73" s="2" t="s">
        <v>72</v>
      </c>
      <c r="D73" s="2" t="s">
        <v>73</v>
      </c>
      <c r="E73" s="2" t="s">
        <v>44</v>
      </c>
      <c r="F73" s="2" t="s">
        <v>45</v>
      </c>
      <c r="G73" s="2" t="s">
        <v>46</v>
      </c>
      <c r="H73" s="2">
        <v>3</v>
      </c>
      <c r="I73" s="7">
        <v>149.99</v>
      </c>
      <c r="J73" s="2" t="s">
        <v>20</v>
      </c>
      <c r="K73" s="2" t="s">
        <v>21</v>
      </c>
      <c r="L73" s="2" t="s">
        <v>27</v>
      </c>
      <c r="M73" s="3">
        <v>45199</v>
      </c>
      <c r="N73" s="6">
        <v>449.97</v>
      </c>
      <c r="O73" s="4">
        <f t="shared" ca="1" si="3"/>
        <v>46283</v>
      </c>
      <c r="P73" s="5">
        <f t="shared" ca="1" si="4"/>
        <v>46283.764101967594</v>
      </c>
      <c r="Q73" s="13">
        <f t="shared" ca="1" si="5"/>
        <v>2</v>
      </c>
    </row>
    <row r="74" spans="1:17" x14ac:dyDescent="0.25">
      <c r="A74" s="2" t="s">
        <v>199</v>
      </c>
      <c r="B74" s="3">
        <v>45491</v>
      </c>
      <c r="C74" s="2" t="s">
        <v>65</v>
      </c>
      <c r="D74" s="2" t="s">
        <v>66</v>
      </c>
      <c r="E74" s="2" t="s">
        <v>126</v>
      </c>
      <c r="F74" s="2" t="s">
        <v>127</v>
      </c>
      <c r="G74" s="2" t="s">
        <v>46</v>
      </c>
      <c r="H74" s="2">
        <v>3</v>
      </c>
      <c r="I74" s="7">
        <v>199.99</v>
      </c>
      <c r="J74" s="2" t="s">
        <v>20</v>
      </c>
      <c r="K74" s="2" t="s">
        <v>40</v>
      </c>
      <c r="L74" s="2" t="s">
        <v>27</v>
      </c>
      <c r="M74" s="3">
        <v>45254</v>
      </c>
      <c r="N74" s="6">
        <v>599.97</v>
      </c>
      <c r="O74" s="4">
        <f t="shared" ca="1" si="3"/>
        <v>46283</v>
      </c>
      <c r="P74" s="5">
        <f t="shared" ca="1" si="4"/>
        <v>46283.764101967594</v>
      </c>
      <c r="Q74" s="13">
        <f t="shared" ca="1" si="5"/>
        <v>2</v>
      </c>
    </row>
    <row r="75" spans="1:17" x14ac:dyDescent="0.25">
      <c r="A75" s="2" t="s">
        <v>200</v>
      </c>
      <c r="B75" s="3">
        <v>45496</v>
      </c>
      <c r="C75" s="2" t="s">
        <v>150</v>
      </c>
      <c r="D75" s="2" t="s">
        <v>151</v>
      </c>
      <c r="E75" s="2" t="s">
        <v>61</v>
      </c>
      <c r="F75" s="2" t="s">
        <v>62</v>
      </c>
      <c r="G75" s="2" t="s">
        <v>19</v>
      </c>
      <c r="H75" s="2">
        <v>1</v>
      </c>
      <c r="I75" s="7">
        <v>899.99</v>
      </c>
      <c r="J75" s="2" t="s">
        <v>20</v>
      </c>
      <c r="K75" s="2" t="s">
        <v>21</v>
      </c>
      <c r="L75" s="2" t="s">
        <v>36</v>
      </c>
      <c r="M75" s="3">
        <v>45179</v>
      </c>
      <c r="N75" s="6">
        <v>899.99</v>
      </c>
      <c r="O75" s="4">
        <f t="shared" ca="1" si="3"/>
        <v>46283</v>
      </c>
      <c r="P75" s="5">
        <f t="shared" ca="1" si="4"/>
        <v>46283.764101967594</v>
      </c>
      <c r="Q75" s="13">
        <f t="shared" ca="1" si="5"/>
        <v>3</v>
      </c>
    </row>
    <row r="76" spans="1:17" x14ac:dyDescent="0.25">
      <c r="A76" s="2" t="s">
        <v>201</v>
      </c>
      <c r="B76" s="3">
        <v>45497</v>
      </c>
      <c r="C76" s="2" t="s">
        <v>24</v>
      </c>
      <c r="D76" s="2" t="s">
        <v>25</v>
      </c>
      <c r="E76" s="2" t="s">
        <v>61</v>
      </c>
      <c r="F76" s="2" t="s">
        <v>62</v>
      </c>
      <c r="G76" s="2" t="s">
        <v>19</v>
      </c>
      <c r="H76" s="2">
        <v>5</v>
      </c>
      <c r="I76" s="7">
        <v>899.99</v>
      </c>
      <c r="J76" s="2" t="s">
        <v>57</v>
      </c>
      <c r="K76" s="2" t="s">
        <v>35</v>
      </c>
      <c r="L76" s="2" t="s">
        <v>36</v>
      </c>
      <c r="M76" s="3">
        <v>44899</v>
      </c>
      <c r="N76" s="6">
        <v>4499.95</v>
      </c>
      <c r="O76" s="4">
        <f t="shared" ca="1" si="3"/>
        <v>46283</v>
      </c>
      <c r="P76" s="5">
        <f t="shared" ca="1" si="4"/>
        <v>46283.764101967594</v>
      </c>
      <c r="Q76" s="13">
        <f t="shared" ca="1" si="5"/>
        <v>3</v>
      </c>
    </row>
    <row r="77" spans="1:17" x14ac:dyDescent="0.25">
      <c r="A77" s="2" t="s">
        <v>202</v>
      </c>
      <c r="B77" s="3">
        <v>45498</v>
      </c>
      <c r="C77" s="2" t="s">
        <v>182</v>
      </c>
      <c r="D77" s="2" t="s">
        <v>183</v>
      </c>
      <c r="E77" s="2" t="s">
        <v>31</v>
      </c>
      <c r="F77" s="2" t="s">
        <v>32</v>
      </c>
      <c r="G77" s="2" t="s">
        <v>33</v>
      </c>
      <c r="H77" s="2">
        <v>2</v>
      </c>
      <c r="I77" s="7">
        <v>59.99</v>
      </c>
      <c r="J77" s="2" t="s">
        <v>20</v>
      </c>
      <c r="K77" s="2" t="s">
        <v>40</v>
      </c>
      <c r="L77" s="2" t="s">
        <v>36</v>
      </c>
      <c r="M77" s="3">
        <v>45152</v>
      </c>
      <c r="N77" s="6">
        <v>119.98</v>
      </c>
      <c r="O77" s="4">
        <f t="shared" ca="1" si="3"/>
        <v>46283</v>
      </c>
      <c r="P77" s="5">
        <f t="shared" ca="1" si="4"/>
        <v>46283.764101967594</v>
      </c>
      <c r="Q77" s="13">
        <f t="shared" ca="1" si="5"/>
        <v>3</v>
      </c>
    </row>
    <row r="78" spans="1:17" x14ac:dyDescent="0.25">
      <c r="A78" s="2" t="s">
        <v>203</v>
      </c>
      <c r="B78" s="3">
        <v>45498</v>
      </c>
      <c r="C78" s="2" t="s">
        <v>196</v>
      </c>
      <c r="D78" s="2" t="s">
        <v>197</v>
      </c>
      <c r="E78" s="2" t="s">
        <v>17</v>
      </c>
      <c r="F78" s="2" t="s">
        <v>18</v>
      </c>
      <c r="G78" s="2" t="s">
        <v>19</v>
      </c>
      <c r="H78" s="2">
        <v>4</v>
      </c>
      <c r="I78" s="7">
        <v>249.99</v>
      </c>
      <c r="J78" s="2" t="s">
        <v>57</v>
      </c>
      <c r="K78" s="2" t="s">
        <v>21</v>
      </c>
      <c r="L78" s="2" t="s">
        <v>36</v>
      </c>
      <c r="M78" s="3">
        <v>45127</v>
      </c>
      <c r="N78" s="6">
        <v>999.96</v>
      </c>
      <c r="O78" s="4">
        <f t="shared" ca="1" si="3"/>
        <v>46283</v>
      </c>
      <c r="P78" s="5">
        <f t="shared" ca="1" si="4"/>
        <v>46283.764101967594</v>
      </c>
      <c r="Q78" s="13">
        <f t="shared" ca="1" si="5"/>
        <v>3</v>
      </c>
    </row>
    <row r="79" spans="1:17" x14ac:dyDescent="0.25">
      <c r="A79" s="2" t="s">
        <v>204</v>
      </c>
      <c r="B79" s="3">
        <v>45500</v>
      </c>
      <c r="C79" s="2" t="s">
        <v>96</v>
      </c>
      <c r="D79" s="2" t="s">
        <v>97</v>
      </c>
      <c r="E79" s="2" t="s">
        <v>17</v>
      </c>
      <c r="F79" s="2" t="s">
        <v>18</v>
      </c>
      <c r="G79" s="2" t="s">
        <v>19</v>
      </c>
      <c r="H79" s="2">
        <v>2</v>
      </c>
      <c r="I79" s="7">
        <v>249.99</v>
      </c>
      <c r="J79" s="2" t="s">
        <v>20</v>
      </c>
      <c r="K79" s="2" t="s">
        <v>40</v>
      </c>
      <c r="L79" s="2" t="s">
        <v>27</v>
      </c>
      <c r="M79" s="3">
        <v>45164</v>
      </c>
      <c r="N79" s="6">
        <v>499.98</v>
      </c>
      <c r="O79" s="4">
        <f t="shared" ca="1" si="3"/>
        <v>46283</v>
      </c>
      <c r="P79" s="5">
        <f t="shared" ca="1" si="4"/>
        <v>46283.764101967594</v>
      </c>
      <c r="Q79" s="13">
        <f t="shared" ca="1" si="5"/>
        <v>3</v>
      </c>
    </row>
    <row r="80" spans="1:17" x14ac:dyDescent="0.25">
      <c r="A80" s="2" t="s">
        <v>205</v>
      </c>
      <c r="B80" s="3">
        <v>45500</v>
      </c>
      <c r="C80" s="2" t="s">
        <v>147</v>
      </c>
      <c r="D80" s="2" t="s">
        <v>148</v>
      </c>
      <c r="E80" s="2" t="s">
        <v>105</v>
      </c>
      <c r="F80" s="2" t="s">
        <v>106</v>
      </c>
      <c r="G80" s="2" t="s">
        <v>46</v>
      </c>
      <c r="H80" s="2">
        <v>1</v>
      </c>
      <c r="I80" s="7">
        <v>299.99</v>
      </c>
      <c r="J80" s="2" t="s">
        <v>20</v>
      </c>
      <c r="K80" s="2" t="s">
        <v>35</v>
      </c>
      <c r="L80" s="2" t="s">
        <v>22</v>
      </c>
      <c r="M80" s="3">
        <v>44982</v>
      </c>
      <c r="N80" s="6">
        <v>299.99</v>
      </c>
      <c r="O80" s="4">
        <f t="shared" ca="1" si="3"/>
        <v>46283</v>
      </c>
      <c r="P80" s="5">
        <f t="shared" ca="1" si="4"/>
        <v>46283.764101967594</v>
      </c>
      <c r="Q80" s="13">
        <f t="shared" ca="1" si="5"/>
        <v>3</v>
      </c>
    </row>
    <row r="81" spans="1:17" x14ac:dyDescent="0.25">
      <c r="A81" s="2" t="s">
        <v>206</v>
      </c>
      <c r="B81" s="3">
        <v>45501</v>
      </c>
      <c r="C81" s="2" t="s">
        <v>86</v>
      </c>
      <c r="D81" s="2" t="s">
        <v>87</v>
      </c>
      <c r="E81" s="2" t="s">
        <v>117</v>
      </c>
      <c r="F81" s="2" t="s">
        <v>118</v>
      </c>
      <c r="G81" s="2" t="s">
        <v>19</v>
      </c>
      <c r="H81" s="2">
        <v>2</v>
      </c>
      <c r="I81" s="7">
        <v>89.99</v>
      </c>
      <c r="J81" s="2" t="s">
        <v>34</v>
      </c>
      <c r="K81" s="2" t="s">
        <v>35</v>
      </c>
      <c r="L81" s="2" t="s">
        <v>22</v>
      </c>
      <c r="M81" s="3">
        <v>44976</v>
      </c>
      <c r="N81" s="6">
        <v>179.98</v>
      </c>
      <c r="O81" s="4">
        <f t="shared" ca="1" si="3"/>
        <v>46283</v>
      </c>
      <c r="P81" s="5">
        <f t="shared" ca="1" si="4"/>
        <v>46283.764101967594</v>
      </c>
      <c r="Q81" s="13">
        <f t="shared" ca="1" si="5"/>
        <v>3</v>
      </c>
    </row>
    <row r="82" spans="1:17" x14ac:dyDescent="0.25">
      <c r="A82" s="2" t="s">
        <v>207</v>
      </c>
      <c r="B82" s="3">
        <v>45501</v>
      </c>
      <c r="C82" s="2" t="s">
        <v>147</v>
      </c>
      <c r="D82" s="2" t="s">
        <v>148</v>
      </c>
      <c r="E82" s="2" t="s">
        <v>105</v>
      </c>
      <c r="F82" s="2" t="s">
        <v>106</v>
      </c>
      <c r="G82" s="2" t="s">
        <v>46</v>
      </c>
      <c r="H82" s="2">
        <v>3</v>
      </c>
      <c r="I82" s="7">
        <v>299.99</v>
      </c>
      <c r="J82" s="2" t="s">
        <v>20</v>
      </c>
      <c r="K82" s="2" t="s">
        <v>21</v>
      </c>
      <c r="L82" s="2" t="s">
        <v>22</v>
      </c>
      <c r="M82" s="3">
        <v>44732</v>
      </c>
      <c r="N82" s="6">
        <v>899.97</v>
      </c>
      <c r="O82" s="4">
        <f t="shared" ca="1" si="3"/>
        <v>46283</v>
      </c>
      <c r="P82" s="5">
        <f t="shared" ca="1" si="4"/>
        <v>46283.764101967594</v>
      </c>
      <c r="Q82" s="13">
        <f t="shared" ca="1" si="5"/>
        <v>4</v>
      </c>
    </row>
    <row r="83" spans="1:17" x14ac:dyDescent="0.25">
      <c r="A83" s="2" t="s">
        <v>208</v>
      </c>
      <c r="B83" s="3">
        <v>45503</v>
      </c>
      <c r="C83" s="2" t="s">
        <v>86</v>
      </c>
      <c r="D83" s="2" t="s">
        <v>87</v>
      </c>
      <c r="E83" s="2" t="s">
        <v>80</v>
      </c>
      <c r="F83" s="2" t="s">
        <v>81</v>
      </c>
      <c r="G83" s="2" t="s">
        <v>19</v>
      </c>
      <c r="H83" s="2">
        <v>2</v>
      </c>
      <c r="I83" s="7">
        <v>699.99</v>
      </c>
      <c r="J83" s="2" t="s">
        <v>26</v>
      </c>
      <c r="K83" s="2" t="s">
        <v>40</v>
      </c>
      <c r="L83" s="2" t="s">
        <v>27</v>
      </c>
      <c r="M83" s="3">
        <v>44999</v>
      </c>
      <c r="N83" s="6">
        <v>1399.98</v>
      </c>
      <c r="O83" s="4">
        <f t="shared" ca="1" si="3"/>
        <v>46283</v>
      </c>
      <c r="P83" s="5">
        <f t="shared" ca="1" si="4"/>
        <v>46283.764101967594</v>
      </c>
      <c r="Q83" s="13">
        <f t="shared" ca="1" si="5"/>
        <v>3</v>
      </c>
    </row>
    <row r="84" spans="1:17" x14ac:dyDescent="0.25">
      <c r="A84" s="2" t="s">
        <v>209</v>
      </c>
      <c r="B84" s="3">
        <v>45504</v>
      </c>
      <c r="C84" s="2" t="s">
        <v>120</v>
      </c>
      <c r="D84" s="2" t="s">
        <v>121</v>
      </c>
      <c r="E84" s="2" t="s">
        <v>61</v>
      </c>
      <c r="F84" s="2" t="s">
        <v>62</v>
      </c>
      <c r="G84" s="2" t="s">
        <v>19</v>
      </c>
      <c r="H84" s="2">
        <v>4</v>
      </c>
      <c r="I84" s="7">
        <v>899.99</v>
      </c>
      <c r="J84" s="2" t="s">
        <v>57</v>
      </c>
      <c r="K84" s="2" t="s">
        <v>35</v>
      </c>
      <c r="L84" s="2" t="s">
        <v>36</v>
      </c>
      <c r="M84" s="3">
        <v>44523</v>
      </c>
      <c r="N84" s="6">
        <v>3599.96</v>
      </c>
      <c r="O84" s="4">
        <f t="shared" ca="1" si="3"/>
        <v>46283</v>
      </c>
      <c r="P84" s="5">
        <f t="shared" ca="1" si="4"/>
        <v>46283.764101967594</v>
      </c>
      <c r="Q84" s="13">
        <f t="shared" ca="1" si="5"/>
        <v>4</v>
      </c>
    </row>
    <row r="85" spans="1:17" x14ac:dyDescent="0.25">
      <c r="A85" s="2" t="s">
        <v>210</v>
      </c>
      <c r="B85" s="3">
        <v>45509</v>
      </c>
      <c r="C85" s="2" t="s">
        <v>211</v>
      </c>
      <c r="D85" s="2" t="s">
        <v>212</v>
      </c>
      <c r="E85" s="2" t="s">
        <v>44</v>
      </c>
      <c r="F85" s="2" t="s">
        <v>45</v>
      </c>
      <c r="G85" s="2" t="s">
        <v>46</v>
      </c>
      <c r="H85" s="2">
        <v>2</v>
      </c>
      <c r="I85" s="7">
        <v>149.99</v>
      </c>
      <c r="J85" s="2" t="s">
        <v>26</v>
      </c>
      <c r="K85" s="2" t="s">
        <v>50</v>
      </c>
      <c r="L85" s="2" t="s">
        <v>22</v>
      </c>
      <c r="M85" s="3">
        <v>44542</v>
      </c>
      <c r="N85" s="6">
        <v>299.98</v>
      </c>
      <c r="O85" s="4">
        <f t="shared" ca="1" si="3"/>
        <v>46283</v>
      </c>
      <c r="P85" s="5">
        <f t="shared" ca="1" si="4"/>
        <v>46283.764101967594</v>
      </c>
      <c r="Q85" s="13">
        <f t="shared" ca="1" si="5"/>
        <v>4</v>
      </c>
    </row>
    <row r="86" spans="1:17" x14ac:dyDescent="0.25">
      <c r="A86" s="2" t="s">
        <v>213</v>
      </c>
      <c r="B86" s="3">
        <v>45510</v>
      </c>
      <c r="C86" s="2" t="s">
        <v>102</v>
      </c>
      <c r="D86" s="2" t="s">
        <v>103</v>
      </c>
      <c r="E86" s="2" t="s">
        <v>44</v>
      </c>
      <c r="F86" s="2" t="s">
        <v>45</v>
      </c>
      <c r="G86" s="2" t="s">
        <v>46</v>
      </c>
      <c r="H86" s="2">
        <v>2</v>
      </c>
      <c r="I86" s="7">
        <v>149.99</v>
      </c>
      <c r="J86" s="2" t="s">
        <v>57</v>
      </c>
      <c r="K86" s="2" t="s">
        <v>63</v>
      </c>
      <c r="L86" s="2" t="s">
        <v>36</v>
      </c>
      <c r="M86" s="3">
        <v>44667</v>
      </c>
      <c r="N86" s="6">
        <v>299.98</v>
      </c>
      <c r="O86" s="4">
        <f t="shared" ca="1" si="3"/>
        <v>46283</v>
      </c>
      <c r="P86" s="5">
        <f t="shared" ca="1" si="4"/>
        <v>46283.764101967594</v>
      </c>
      <c r="Q86" s="13">
        <f t="shared" ca="1" si="5"/>
        <v>4</v>
      </c>
    </row>
    <row r="87" spans="1:17" x14ac:dyDescent="0.25">
      <c r="A87" s="2" t="s">
        <v>214</v>
      </c>
      <c r="B87" s="3">
        <v>45513</v>
      </c>
      <c r="C87" s="2" t="s">
        <v>89</v>
      </c>
      <c r="D87" s="2" t="s">
        <v>90</v>
      </c>
      <c r="E87" s="2" t="s">
        <v>117</v>
      </c>
      <c r="F87" s="2" t="s">
        <v>118</v>
      </c>
      <c r="G87" s="2" t="s">
        <v>19</v>
      </c>
      <c r="H87" s="2">
        <v>1</v>
      </c>
      <c r="I87" s="7">
        <v>89.99</v>
      </c>
      <c r="J87" s="2" t="s">
        <v>26</v>
      </c>
      <c r="K87" s="2" t="s">
        <v>40</v>
      </c>
      <c r="L87" s="2" t="s">
        <v>36</v>
      </c>
      <c r="M87" s="3">
        <v>45393</v>
      </c>
      <c r="N87" s="6">
        <v>89.99</v>
      </c>
      <c r="O87" s="4">
        <f t="shared" ca="1" si="3"/>
        <v>46283</v>
      </c>
      <c r="P87" s="5">
        <f t="shared" ca="1" si="4"/>
        <v>46283.764101967594</v>
      </c>
      <c r="Q87" s="13">
        <f t="shared" ca="1" si="5"/>
        <v>2</v>
      </c>
    </row>
    <row r="88" spans="1:17" x14ac:dyDescent="0.25">
      <c r="A88" s="2" t="s">
        <v>215</v>
      </c>
      <c r="B88" s="3">
        <v>45515</v>
      </c>
      <c r="C88" s="2" t="s">
        <v>86</v>
      </c>
      <c r="D88" s="2" t="s">
        <v>87</v>
      </c>
      <c r="E88" s="2" t="s">
        <v>105</v>
      </c>
      <c r="F88" s="2" t="s">
        <v>106</v>
      </c>
      <c r="G88" s="2" t="s">
        <v>46</v>
      </c>
      <c r="H88" s="2">
        <v>5</v>
      </c>
      <c r="I88" s="7">
        <v>299.99</v>
      </c>
      <c r="J88" s="2" t="s">
        <v>26</v>
      </c>
      <c r="K88" s="2" t="s">
        <v>40</v>
      </c>
      <c r="L88" s="2" t="s">
        <v>22</v>
      </c>
      <c r="M88" s="3">
        <v>44965</v>
      </c>
      <c r="N88" s="6">
        <v>1499.95</v>
      </c>
      <c r="O88" s="4">
        <f t="shared" ca="1" si="3"/>
        <v>46283</v>
      </c>
      <c r="P88" s="5">
        <f t="shared" ca="1" si="4"/>
        <v>46283.764101967594</v>
      </c>
      <c r="Q88" s="13">
        <f t="shared" ca="1" si="5"/>
        <v>3</v>
      </c>
    </row>
    <row r="89" spans="1:17" x14ac:dyDescent="0.25">
      <c r="A89" s="2" t="s">
        <v>216</v>
      </c>
      <c r="B89" s="3">
        <v>45517</v>
      </c>
      <c r="C89" s="2" t="s">
        <v>182</v>
      </c>
      <c r="D89" s="2" t="s">
        <v>183</v>
      </c>
      <c r="E89" s="2" t="s">
        <v>52</v>
      </c>
      <c r="F89" s="2" t="s">
        <v>53</v>
      </c>
      <c r="G89" s="2" t="s">
        <v>19</v>
      </c>
      <c r="H89" s="2">
        <v>4</v>
      </c>
      <c r="I89" s="7">
        <v>149.99</v>
      </c>
      <c r="J89" s="2" t="s">
        <v>57</v>
      </c>
      <c r="K89" s="2" t="s">
        <v>35</v>
      </c>
      <c r="L89" s="2" t="s">
        <v>27</v>
      </c>
      <c r="M89" s="3">
        <v>44820</v>
      </c>
      <c r="N89" s="6">
        <v>599.96</v>
      </c>
      <c r="O89" s="4">
        <f t="shared" ca="1" si="3"/>
        <v>46283</v>
      </c>
      <c r="P89" s="5">
        <f t="shared" ca="1" si="4"/>
        <v>46283.764101967594</v>
      </c>
      <c r="Q89" s="13">
        <f t="shared" ca="1" si="5"/>
        <v>4</v>
      </c>
    </row>
    <row r="90" spans="1:17" x14ac:dyDescent="0.25">
      <c r="A90" s="2" t="s">
        <v>217</v>
      </c>
      <c r="B90" s="3">
        <v>45517</v>
      </c>
      <c r="C90" s="2" t="s">
        <v>185</v>
      </c>
      <c r="D90" s="2" t="s">
        <v>186</v>
      </c>
      <c r="E90" s="2" t="s">
        <v>17</v>
      </c>
      <c r="F90" s="2" t="s">
        <v>18</v>
      </c>
      <c r="G90" s="2" t="s">
        <v>19</v>
      </c>
      <c r="H90" s="2">
        <v>5</v>
      </c>
      <c r="I90" s="7">
        <v>249.99</v>
      </c>
      <c r="J90" s="2" t="s">
        <v>34</v>
      </c>
      <c r="K90" s="2" t="s">
        <v>63</v>
      </c>
      <c r="L90" s="2" t="s">
        <v>27</v>
      </c>
      <c r="M90" s="3">
        <v>44782</v>
      </c>
      <c r="N90" s="6">
        <v>1249.95</v>
      </c>
      <c r="O90" s="4">
        <f t="shared" ca="1" si="3"/>
        <v>46283</v>
      </c>
      <c r="P90" s="5">
        <f t="shared" ca="1" si="4"/>
        <v>46283.764101967594</v>
      </c>
      <c r="Q90" s="13">
        <f t="shared" ca="1" si="5"/>
        <v>4</v>
      </c>
    </row>
    <row r="91" spans="1:17" x14ac:dyDescent="0.25">
      <c r="A91" s="2" t="s">
        <v>218</v>
      </c>
      <c r="B91" s="3">
        <v>45517</v>
      </c>
      <c r="C91" s="2" t="s">
        <v>65</v>
      </c>
      <c r="D91" s="2" t="s">
        <v>66</v>
      </c>
      <c r="E91" s="2" t="s">
        <v>17</v>
      </c>
      <c r="F91" s="2" t="s">
        <v>18</v>
      </c>
      <c r="G91" s="2" t="s">
        <v>19</v>
      </c>
      <c r="H91" s="2">
        <v>3</v>
      </c>
      <c r="I91" s="7">
        <v>249.99</v>
      </c>
      <c r="J91" s="2" t="s">
        <v>34</v>
      </c>
      <c r="K91" s="2" t="s">
        <v>40</v>
      </c>
      <c r="L91" s="2" t="s">
        <v>27</v>
      </c>
      <c r="M91" s="3">
        <v>44465</v>
      </c>
      <c r="N91" s="6">
        <v>749.97</v>
      </c>
      <c r="O91" s="4">
        <f t="shared" ca="1" si="3"/>
        <v>46283</v>
      </c>
      <c r="P91" s="5">
        <f t="shared" ca="1" si="4"/>
        <v>46283.764101967594</v>
      </c>
      <c r="Q91" s="13">
        <f t="shared" ca="1" si="5"/>
        <v>4</v>
      </c>
    </row>
    <row r="92" spans="1:17" x14ac:dyDescent="0.25">
      <c r="A92" s="2" t="s">
        <v>219</v>
      </c>
      <c r="B92" s="3">
        <v>45517</v>
      </c>
      <c r="C92" s="2" t="s">
        <v>38</v>
      </c>
      <c r="D92" s="2" t="s">
        <v>39</v>
      </c>
      <c r="E92" s="2" t="s">
        <v>126</v>
      </c>
      <c r="F92" s="2" t="s">
        <v>127</v>
      </c>
      <c r="G92" s="2" t="s">
        <v>46</v>
      </c>
      <c r="H92" s="2">
        <v>4</v>
      </c>
      <c r="I92" s="7">
        <v>199.99</v>
      </c>
      <c r="J92" s="2" t="s">
        <v>20</v>
      </c>
      <c r="K92" s="2" t="s">
        <v>40</v>
      </c>
      <c r="L92" s="2" t="s">
        <v>36</v>
      </c>
      <c r="M92" s="3">
        <v>44458</v>
      </c>
      <c r="N92" s="6">
        <v>799.96</v>
      </c>
      <c r="O92" s="4">
        <f t="shared" ca="1" si="3"/>
        <v>46283</v>
      </c>
      <c r="P92" s="5">
        <f t="shared" ca="1" si="4"/>
        <v>46283.764101967594</v>
      </c>
      <c r="Q92" s="13">
        <f t="shared" ca="1" si="5"/>
        <v>4</v>
      </c>
    </row>
    <row r="93" spans="1:17" x14ac:dyDescent="0.25">
      <c r="A93" s="2" t="s">
        <v>220</v>
      </c>
      <c r="B93" s="3">
        <v>45519</v>
      </c>
      <c r="C93" s="2" t="s">
        <v>158</v>
      </c>
      <c r="D93" s="2" t="s">
        <v>159</v>
      </c>
      <c r="E93" s="2" t="s">
        <v>126</v>
      </c>
      <c r="F93" s="2" t="s">
        <v>127</v>
      </c>
      <c r="G93" s="2" t="s">
        <v>46</v>
      </c>
      <c r="H93" s="2">
        <v>5</v>
      </c>
      <c r="I93" s="7">
        <v>199.99</v>
      </c>
      <c r="J93" s="2" t="s">
        <v>20</v>
      </c>
      <c r="K93" s="2" t="s">
        <v>40</v>
      </c>
      <c r="L93" s="2" t="s">
        <v>27</v>
      </c>
      <c r="M93" s="3">
        <v>44991</v>
      </c>
      <c r="N93" s="6">
        <v>999.95</v>
      </c>
      <c r="O93" s="4">
        <f t="shared" ca="1" si="3"/>
        <v>46283</v>
      </c>
      <c r="P93" s="5">
        <f t="shared" ca="1" si="4"/>
        <v>46283.764101967594</v>
      </c>
      <c r="Q93" s="13">
        <f t="shared" ca="1" si="5"/>
        <v>3</v>
      </c>
    </row>
    <row r="94" spans="1:17" x14ac:dyDescent="0.25">
      <c r="A94" s="2" t="s">
        <v>221</v>
      </c>
      <c r="B94" s="3">
        <v>45522</v>
      </c>
      <c r="C94" s="2" t="s">
        <v>86</v>
      </c>
      <c r="D94" s="2" t="s">
        <v>87</v>
      </c>
      <c r="E94" s="2" t="s">
        <v>117</v>
      </c>
      <c r="F94" s="2" t="s">
        <v>118</v>
      </c>
      <c r="G94" s="2" t="s">
        <v>19</v>
      </c>
      <c r="H94" s="2">
        <v>2</v>
      </c>
      <c r="I94" s="7">
        <v>89.99</v>
      </c>
      <c r="J94" s="2" t="s">
        <v>20</v>
      </c>
      <c r="K94" s="2" t="s">
        <v>63</v>
      </c>
      <c r="L94" s="2" t="s">
        <v>27</v>
      </c>
      <c r="M94" s="3">
        <v>44972</v>
      </c>
      <c r="N94" s="6">
        <v>179.98</v>
      </c>
      <c r="O94" s="4">
        <f t="shared" ca="1" si="3"/>
        <v>46283</v>
      </c>
      <c r="P94" s="5">
        <f t="shared" ca="1" si="4"/>
        <v>46283.764101967594</v>
      </c>
      <c r="Q94" s="13">
        <f t="shared" ca="1" si="5"/>
        <v>3</v>
      </c>
    </row>
    <row r="95" spans="1:17" x14ac:dyDescent="0.25">
      <c r="A95" s="2" t="s">
        <v>222</v>
      </c>
      <c r="B95" s="3">
        <v>45523</v>
      </c>
      <c r="C95" s="2" t="s">
        <v>196</v>
      </c>
      <c r="D95" s="2" t="s">
        <v>197</v>
      </c>
      <c r="E95" s="2" t="s">
        <v>61</v>
      </c>
      <c r="F95" s="2" t="s">
        <v>62</v>
      </c>
      <c r="G95" s="2" t="s">
        <v>19</v>
      </c>
      <c r="H95" s="2">
        <v>5</v>
      </c>
      <c r="I95" s="7">
        <v>899.99</v>
      </c>
      <c r="J95" s="2" t="s">
        <v>57</v>
      </c>
      <c r="K95" s="2" t="s">
        <v>63</v>
      </c>
      <c r="L95" s="2" t="s">
        <v>22</v>
      </c>
      <c r="M95" s="3">
        <v>44526</v>
      </c>
      <c r="N95" s="6">
        <v>4499.95</v>
      </c>
      <c r="O95" s="4">
        <f t="shared" ca="1" si="3"/>
        <v>46283</v>
      </c>
      <c r="P95" s="5">
        <f t="shared" ca="1" si="4"/>
        <v>46283.764101967594</v>
      </c>
      <c r="Q95" s="13">
        <f t="shared" ca="1" si="5"/>
        <v>4</v>
      </c>
    </row>
    <row r="96" spans="1:17" x14ac:dyDescent="0.25">
      <c r="A96" s="2" t="s">
        <v>223</v>
      </c>
      <c r="B96" s="3">
        <v>45523</v>
      </c>
      <c r="C96" s="2" t="s">
        <v>108</v>
      </c>
      <c r="D96" s="2" t="s">
        <v>109</v>
      </c>
      <c r="E96" s="2" t="s">
        <v>52</v>
      </c>
      <c r="F96" s="2" t="s">
        <v>53</v>
      </c>
      <c r="G96" s="2" t="s">
        <v>19</v>
      </c>
      <c r="H96" s="2">
        <v>3</v>
      </c>
      <c r="I96" s="7">
        <v>149.99</v>
      </c>
      <c r="J96" s="2" t="s">
        <v>34</v>
      </c>
      <c r="K96" s="2" t="s">
        <v>63</v>
      </c>
      <c r="L96" s="2" t="s">
        <v>22</v>
      </c>
      <c r="M96" s="3">
        <v>44574</v>
      </c>
      <c r="N96" s="6">
        <v>449.97</v>
      </c>
      <c r="O96" s="4">
        <f t="shared" ca="1" si="3"/>
        <v>46283</v>
      </c>
      <c r="P96" s="5">
        <f t="shared" ca="1" si="4"/>
        <v>46283.764101967594</v>
      </c>
      <c r="Q96" s="13">
        <f t="shared" ca="1" si="5"/>
        <v>4</v>
      </c>
    </row>
    <row r="97" spans="1:17" x14ac:dyDescent="0.25">
      <c r="A97" s="2" t="s">
        <v>224</v>
      </c>
      <c r="B97" s="3">
        <v>45526</v>
      </c>
      <c r="C97" s="2" t="s">
        <v>102</v>
      </c>
      <c r="D97" s="2" t="s">
        <v>103</v>
      </c>
      <c r="E97" s="2" t="s">
        <v>44</v>
      </c>
      <c r="F97" s="2" t="s">
        <v>45</v>
      </c>
      <c r="G97" s="2" t="s">
        <v>46</v>
      </c>
      <c r="H97" s="2">
        <v>5</v>
      </c>
      <c r="I97" s="7">
        <v>149.99</v>
      </c>
      <c r="J97" s="2" t="s">
        <v>26</v>
      </c>
      <c r="K97" s="2" t="s">
        <v>21</v>
      </c>
      <c r="L97" s="2" t="s">
        <v>22</v>
      </c>
      <c r="M97" s="3">
        <v>45310</v>
      </c>
      <c r="N97" s="6">
        <v>749.95</v>
      </c>
      <c r="O97" s="4">
        <f t="shared" ca="1" si="3"/>
        <v>46283</v>
      </c>
      <c r="P97" s="5">
        <f t="shared" ca="1" si="4"/>
        <v>46283.764101967594</v>
      </c>
      <c r="Q97" s="13">
        <f t="shared" ca="1" si="5"/>
        <v>2</v>
      </c>
    </row>
    <row r="98" spans="1:17" x14ac:dyDescent="0.25">
      <c r="A98" s="2" t="s">
        <v>225</v>
      </c>
      <c r="B98" s="3">
        <v>45528</v>
      </c>
      <c r="C98" s="2" t="s">
        <v>226</v>
      </c>
      <c r="D98" s="2" t="s">
        <v>227</v>
      </c>
      <c r="E98" s="2" t="s">
        <v>114</v>
      </c>
      <c r="F98" s="2" t="s">
        <v>115</v>
      </c>
      <c r="G98" s="2" t="s">
        <v>33</v>
      </c>
      <c r="H98" s="2">
        <v>3</v>
      </c>
      <c r="I98" s="7">
        <v>79.989999999999995</v>
      </c>
      <c r="J98" s="2" t="s">
        <v>20</v>
      </c>
      <c r="K98" s="2" t="s">
        <v>21</v>
      </c>
      <c r="L98" s="2" t="s">
        <v>27</v>
      </c>
      <c r="M98" s="3">
        <v>44779</v>
      </c>
      <c r="N98" s="6">
        <v>239.97</v>
      </c>
      <c r="O98" s="4">
        <f t="shared" ca="1" si="3"/>
        <v>46283</v>
      </c>
      <c r="P98" s="5">
        <f t="shared" ca="1" si="4"/>
        <v>46283.764101967594</v>
      </c>
      <c r="Q98" s="13">
        <f t="shared" ca="1" si="5"/>
        <v>4</v>
      </c>
    </row>
    <row r="99" spans="1:17" x14ac:dyDescent="0.25">
      <c r="A99" s="2" t="s">
        <v>228</v>
      </c>
      <c r="B99" s="3">
        <v>45528</v>
      </c>
      <c r="C99" s="2" t="s">
        <v>144</v>
      </c>
      <c r="D99" s="2" t="s">
        <v>145</v>
      </c>
      <c r="E99" s="2" t="s">
        <v>17</v>
      </c>
      <c r="F99" s="2" t="s">
        <v>18</v>
      </c>
      <c r="G99" s="2" t="s">
        <v>19</v>
      </c>
      <c r="H99" s="2">
        <v>2</v>
      </c>
      <c r="I99" s="7">
        <v>249.99</v>
      </c>
      <c r="J99" s="2" t="s">
        <v>20</v>
      </c>
      <c r="K99" s="2" t="s">
        <v>35</v>
      </c>
      <c r="L99" s="2" t="s">
        <v>36</v>
      </c>
      <c r="M99" s="3">
        <v>44572</v>
      </c>
      <c r="N99" s="6">
        <v>499.98</v>
      </c>
      <c r="O99" s="4">
        <f t="shared" ca="1" si="3"/>
        <v>46283</v>
      </c>
      <c r="P99" s="5">
        <f t="shared" ca="1" si="4"/>
        <v>46283.764101967594</v>
      </c>
      <c r="Q99" s="13">
        <f t="shared" ca="1" si="5"/>
        <v>4</v>
      </c>
    </row>
    <row r="100" spans="1:17" x14ac:dyDescent="0.25">
      <c r="A100" s="2" t="s">
        <v>229</v>
      </c>
      <c r="B100" s="3">
        <v>45532</v>
      </c>
      <c r="C100" s="2" t="s">
        <v>196</v>
      </c>
      <c r="D100" s="2" t="s">
        <v>197</v>
      </c>
      <c r="E100" s="2" t="s">
        <v>80</v>
      </c>
      <c r="F100" s="2" t="s">
        <v>81</v>
      </c>
      <c r="G100" s="2" t="s">
        <v>19</v>
      </c>
      <c r="H100" s="2">
        <v>1</v>
      </c>
      <c r="I100" s="7">
        <v>699.99</v>
      </c>
      <c r="J100" s="2" t="s">
        <v>20</v>
      </c>
      <c r="K100" s="2" t="s">
        <v>21</v>
      </c>
      <c r="L100" s="2" t="s">
        <v>27</v>
      </c>
      <c r="M100" s="3">
        <v>44497</v>
      </c>
      <c r="N100" s="6">
        <v>699.99</v>
      </c>
      <c r="O100" s="4">
        <f t="shared" ca="1" si="3"/>
        <v>46283</v>
      </c>
      <c r="P100" s="5">
        <f t="shared" ca="1" si="4"/>
        <v>46283.764101967594</v>
      </c>
      <c r="Q100" s="13">
        <f t="shared" ca="1" si="5"/>
        <v>4</v>
      </c>
    </row>
    <row r="101" spans="1:17" x14ac:dyDescent="0.25">
      <c r="A101" s="2" t="s">
        <v>230</v>
      </c>
      <c r="B101" s="3">
        <v>45532</v>
      </c>
      <c r="C101" s="2" t="s">
        <v>231</v>
      </c>
      <c r="D101" s="2" t="s">
        <v>232</v>
      </c>
      <c r="E101" s="2" t="s">
        <v>52</v>
      </c>
      <c r="F101" s="2" t="s">
        <v>53</v>
      </c>
      <c r="G101" s="2" t="s">
        <v>19</v>
      </c>
      <c r="H101" s="2">
        <v>3</v>
      </c>
      <c r="I101" s="7">
        <v>149.99</v>
      </c>
      <c r="J101" s="2" t="s">
        <v>20</v>
      </c>
      <c r="K101" s="2" t="s">
        <v>50</v>
      </c>
      <c r="L101" s="2" t="s">
        <v>27</v>
      </c>
      <c r="M101" s="3">
        <v>45212</v>
      </c>
      <c r="N101" s="6">
        <v>449.97</v>
      </c>
      <c r="O101" s="4">
        <f t="shared" ca="1" si="3"/>
        <v>46283</v>
      </c>
      <c r="P101" s="5">
        <f t="shared" ca="1" si="4"/>
        <v>46283.764101967594</v>
      </c>
      <c r="Q101" s="13">
        <f t="shared" ca="1" si="5"/>
        <v>2</v>
      </c>
    </row>
    <row r="102" spans="1:17" x14ac:dyDescent="0.25">
      <c r="A102" s="2" t="s">
        <v>233</v>
      </c>
      <c r="B102" s="3">
        <v>45534</v>
      </c>
      <c r="C102" s="2" t="s">
        <v>234</v>
      </c>
      <c r="D102" s="2" t="s">
        <v>235</v>
      </c>
      <c r="E102" s="2" t="s">
        <v>80</v>
      </c>
      <c r="F102" s="2" t="s">
        <v>81</v>
      </c>
      <c r="G102" s="2" t="s">
        <v>19</v>
      </c>
      <c r="H102" s="2">
        <v>2</v>
      </c>
      <c r="I102" s="7">
        <v>699.99</v>
      </c>
      <c r="J102" s="2" t="s">
        <v>26</v>
      </c>
      <c r="K102" s="2" t="s">
        <v>40</v>
      </c>
      <c r="L102" s="2" t="s">
        <v>27</v>
      </c>
      <c r="M102" s="3">
        <v>44421</v>
      </c>
      <c r="N102" s="6">
        <v>1399.98</v>
      </c>
      <c r="O102" s="4">
        <f t="shared" ca="1" si="3"/>
        <v>46283</v>
      </c>
      <c r="P102" s="5">
        <f t="shared" ca="1" si="4"/>
        <v>46283.764101967594</v>
      </c>
      <c r="Q102" s="13">
        <f t="shared" ca="1" si="5"/>
        <v>5</v>
      </c>
    </row>
    <row r="103" spans="1:17" x14ac:dyDescent="0.25">
      <c r="A103" s="2" t="s">
        <v>236</v>
      </c>
      <c r="B103" s="3">
        <v>45537</v>
      </c>
      <c r="C103" s="2" t="s">
        <v>231</v>
      </c>
      <c r="D103" s="2" t="s">
        <v>232</v>
      </c>
      <c r="E103" s="2" t="s">
        <v>17</v>
      </c>
      <c r="F103" s="2" t="s">
        <v>18</v>
      </c>
      <c r="G103" s="2" t="s">
        <v>19</v>
      </c>
      <c r="H103" s="2">
        <v>1</v>
      </c>
      <c r="I103" s="7">
        <v>249.99</v>
      </c>
      <c r="J103" s="2" t="s">
        <v>26</v>
      </c>
      <c r="K103" s="2" t="s">
        <v>50</v>
      </c>
      <c r="L103" s="2" t="s">
        <v>27</v>
      </c>
      <c r="M103" s="3">
        <v>44685</v>
      </c>
      <c r="N103" s="6">
        <v>249.99</v>
      </c>
      <c r="O103" s="4">
        <f t="shared" ca="1" si="3"/>
        <v>46283</v>
      </c>
      <c r="P103" s="5">
        <f t="shared" ca="1" si="4"/>
        <v>46283.764101967594</v>
      </c>
      <c r="Q103" s="13">
        <f t="shared" ca="1" si="5"/>
        <v>4</v>
      </c>
    </row>
    <row r="104" spans="1:17" x14ac:dyDescent="0.25">
      <c r="A104" s="2" t="s">
        <v>237</v>
      </c>
      <c r="B104" s="3">
        <v>45537</v>
      </c>
      <c r="C104" s="2" t="s">
        <v>15</v>
      </c>
      <c r="D104" s="2" t="s">
        <v>16</v>
      </c>
      <c r="E104" s="2" t="s">
        <v>17</v>
      </c>
      <c r="F104" s="2" t="s">
        <v>18</v>
      </c>
      <c r="G104" s="2" t="s">
        <v>19</v>
      </c>
      <c r="H104" s="2">
        <v>1</v>
      </c>
      <c r="I104" s="7">
        <v>249.99</v>
      </c>
      <c r="J104" s="2" t="s">
        <v>57</v>
      </c>
      <c r="K104" s="2" t="s">
        <v>40</v>
      </c>
      <c r="L104" s="2" t="s">
        <v>27</v>
      </c>
      <c r="M104" s="3">
        <v>45332</v>
      </c>
      <c r="N104" s="6">
        <v>249.99</v>
      </c>
      <c r="O104" s="4">
        <f t="shared" ca="1" si="3"/>
        <v>46283</v>
      </c>
      <c r="P104" s="5">
        <f t="shared" ca="1" si="4"/>
        <v>46283.764101967594</v>
      </c>
      <c r="Q104" s="13">
        <f t="shared" ca="1" si="5"/>
        <v>2</v>
      </c>
    </row>
    <row r="105" spans="1:17" x14ac:dyDescent="0.25">
      <c r="A105" s="2" t="s">
        <v>238</v>
      </c>
      <c r="B105" s="3">
        <v>45538</v>
      </c>
      <c r="C105" s="2" t="s">
        <v>226</v>
      </c>
      <c r="D105" s="2" t="s">
        <v>227</v>
      </c>
      <c r="E105" s="2" t="s">
        <v>80</v>
      </c>
      <c r="F105" s="2" t="s">
        <v>81</v>
      </c>
      <c r="G105" s="2" t="s">
        <v>19</v>
      </c>
      <c r="H105" s="2">
        <v>2</v>
      </c>
      <c r="I105" s="7">
        <v>699.99</v>
      </c>
      <c r="J105" s="2" t="s">
        <v>57</v>
      </c>
      <c r="K105" s="2" t="s">
        <v>21</v>
      </c>
      <c r="L105" s="2" t="s">
        <v>27</v>
      </c>
      <c r="M105" s="3">
        <v>44870</v>
      </c>
      <c r="N105" s="6">
        <v>1399.98</v>
      </c>
      <c r="O105" s="4">
        <f t="shared" ca="1" si="3"/>
        <v>46283</v>
      </c>
      <c r="P105" s="5">
        <f t="shared" ca="1" si="4"/>
        <v>46283.764101967594</v>
      </c>
      <c r="Q105" s="13">
        <f t="shared" ca="1" si="5"/>
        <v>3</v>
      </c>
    </row>
    <row r="106" spans="1:17" x14ac:dyDescent="0.25">
      <c r="A106" s="2" t="s">
        <v>239</v>
      </c>
      <c r="B106" s="3">
        <v>45541</v>
      </c>
      <c r="C106" s="2" t="s">
        <v>138</v>
      </c>
      <c r="D106" s="2" t="s">
        <v>139</v>
      </c>
      <c r="E106" s="2" t="s">
        <v>31</v>
      </c>
      <c r="F106" s="2" t="s">
        <v>32</v>
      </c>
      <c r="G106" s="2" t="s">
        <v>33</v>
      </c>
      <c r="H106" s="2">
        <v>3</v>
      </c>
      <c r="I106" s="7">
        <v>59.99</v>
      </c>
      <c r="J106" s="2" t="s">
        <v>26</v>
      </c>
      <c r="K106" s="2" t="s">
        <v>21</v>
      </c>
      <c r="L106" s="2" t="s">
        <v>27</v>
      </c>
      <c r="M106" s="3">
        <v>44717</v>
      </c>
      <c r="N106" s="6">
        <v>179.97</v>
      </c>
      <c r="O106" s="4">
        <f t="shared" ca="1" si="3"/>
        <v>46283</v>
      </c>
      <c r="P106" s="5">
        <f t="shared" ca="1" si="4"/>
        <v>46283.764101967594</v>
      </c>
      <c r="Q106" s="13">
        <f t="shared" ca="1" si="5"/>
        <v>4</v>
      </c>
    </row>
    <row r="107" spans="1:17" x14ac:dyDescent="0.25">
      <c r="A107" s="2" t="s">
        <v>240</v>
      </c>
      <c r="B107" s="3">
        <v>45544</v>
      </c>
      <c r="C107" s="2" t="s">
        <v>132</v>
      </c>
      <c r="D107" s="2" t="s">
        <v>133</v>
      </c>
      <c r="E107" s="2" t="s">
        <v>31</v>
      </c>
      <c r="F107" s="2" t="s">
        <v>32</v>
      </c>
      <c r="G107" s="2" t="s">
        <v>33</v>
      </c>
      <c r="H107" s="2">
        <v>3</v>
      </c>
      <c r="I107" s="7">
        <v>59.99</v>
      </c>
      <c r="J107" s="2" t="s">
        <v>34</v>
      </c>
      <c r="K107" s="2" t="s">
        <v>63</v>
      </c>
      <c r="L107" s="2" t="s">
        <v>36</v>
      </c>
      <c r="M107" s="3">
        <v>44748</v>
      </c>
      <c r="N107" s="6">
        <v>179.97</v>
      </c>
      <c r="O107" s="4">
        <f t="shared" ca="1" si="3"/>
        <v>46283</v>
      </c>
      <c r="P107" s="5">
        <f t="shared" ca="1" si="4"/>
        <v>46283.764101967594</v>
      </c>
      <c r="Q107" s="13">
        <f t="shared" ca="1" si="5"/>
        <v>4</v>
      </c>
    </row>
    <row r="108" spans="1:17" x14ac:dyDescent="0.25">
      <c r="A108" s="2" t="s">
        <v>241</v>
      </c>
      <c r="B108" s="3">
        <v>45544</v>
      </c>
      <c r="C108" s="2" t="s">
        <v>141</v>
      </c>
      <c r="D108" s="2" t="s">
        <v>142</v>
      </c>
      <c r="E108" s="2" t="s">
        <v>114</v>
      </c>
      <c r="F108" s="2" t="s">
        <v>115</v>
      </c>
      <c r="G108" s="2" t="s">
        <v>33</v>
      </c>
      <c r="H108" s="2">
        <v>4</v>
      </c>
      <c r="I108" s="7">
        <v>79.989999999999995</v>
      </c>
      <c r="J108" s="2" t="s">
        <v>20</v>
      </c>
      <c r="K108" s="2" t="s">
        <v>40</v>
      </c>
      <c r="L108" s="2" t="s">
        <v>22</v>
      </c>
      <c r="M108" s="3">
        <v>44530</v>
      </c>
      <c r="N108" s="6">
        <v>319.95999999999998</v>
      </c>
      <c r="O108" s="4">
        <f t="shared" ca="1" si="3"/>
        <v>46283</v>
      </c>
      <c r="P108" s="5">
        <f t="shared" ca="1" si="4"/>
        <v>46283.764101967594</v>
      </c>
      <c r="Q108" s="13">
        <f t="shared" ca="1" si="5"/>
        <v>4</v>
      </c>
    </row>
    <row r="109" spans="1:17" x14ac:dyDescent="0.25">
      <c r="A109" s="2" t="s">
        <v>242</v>
      </c>
      <c r="B109" s="3">
        <v>45545</v>
      </c>
      <c r="C109" s="2" t="s">
        <v>55</v>
      </c>
      <c r="D109" s="2" t="s">
        <v>56</v>
      </c>
      <c r="E109" s="2" t="s">
        <v>114</v>
      </c>
      <c r="F109" s="2" t="s">
        <v>115</v>
      </c>
      <c r="G109" s="2" t="s">
        <v>33</v>
      </c>
      <c r="H109" s="2">
        <v>1</v>
      </c>
      <c r="I109" s="7">
        <v>79.989999999999995</v>
      </c>
      <c r="J109" s="2" t="s">
        <v>20</v>
      </c>
      <c r="K109" s="2" t="s">
        <v>50</v>
      </c>
      <c r="L109" s="2" t="s">
        <v>22</v>
      </c>
      <c r="M109" s="3">
        <v>44693</v>
      </c>
      <c r="N109" s="6">
        <v>79.989999999999995</v>
      </c>
      <c r="O109" s="4">
        <f t="shared" ca="1" si="3"/>
        <v>46283</v>
      </c>
      <c r="P109" s="5">
        <f t="shared" ca="1" si="4"/>
        <v>46283.764101967594</v>
      </c>
      <c r="Q109" s="13">
        <f t="shared" ca="1" si="5"/>
        <v>4</v>
      </c>
    </row>
    <row r="110" spans="1:17" x14ac:dyDescent="0.25">
      <c r="A110" s="2" t="s">
        <v>243</v>
      </c>
      <c r="B110" s="3">
        <v>45547</v>
      </c>
      <c r="C110" s="2" t="s">
        <v>48</v>
      </c>
      <c r="D110" s="2" t="s">
        <v>49</v>
      </c>
      <c r="E110" s="2" t="s">
        <v>105</v>
      </c>
      <c r="F110" s="2" t="s">
        <v>106</v>
      </c>
      <c r="G110" s="2" t="s">
        <v>46</v>
      </c>
      <c r="H110" s="2">
        <v>3</v>
      </c>
      <c r="I110" s="7">
        <v>299.99</v>
      </c>
      <c r="J110" s="2" t="s">
        <v>26</v>
      </c>
      <c r="K110" s="2" t="s">
        <v>21</v>
      </c>
      <c r="L110" s="2" t="s">
        <v>27</v>
      </c>
      <c r="M110" s="3">
        <v>44494</v>
      </c>
      <c r="N110" s="6">
        <v>899.97</v>
      </c>
      <c r="O110" s="4">
        <f t="shared" ca="1" si="3"/>
        <v>46283</v>
      </c>
      <c r="P110" s="5">
        <f t="shared" ca="1" si="4"/>
        <v>46283.764101967594</v>
      </c>
      <c r="Q110" s="13">
        <f t="shared" ca="1" si="5"/>
        <v>4</v>
      </c>
    </row>
    <row r="111" spans="1:17" x14ac:dyDescent="0.25">
      <c r="A111" s="2" t="s">
        <v>244</v>
      </c>
      <c r="B111" s="3">
        <v>45548</v>
      </c>
      <c r="C111" s="2" t="s">
        <v>38</v>
      </c>
      <c r="D111" s="2" t="s">
        <v>39</v>
      </c>
      <c r="E111" s="2" t="s">
        <v>117</v>
      </c>
      <c r="F111" s="2" t="s">
        <v>118</v>
      </c>
      <c r="G111" s="2" t="s">
        <v>19</v>
      </c>
      <c r="H111" s="2">
        <v>2</v>
      </c>
      <c r="I111" s="7">
        <v>89.99</v>
      </c>
      <c r="J111" s="2" t="s">
        <v>26</v>
      </c>
      <c r="K111" s="2" t="s">
        <v>35</v>
      </c>
      <c r="L111" s="2" t="s">
        <v>27</v>
      </c>
      <c r="M111" s="3">
        <v>44641</v>
      </c>
      <c r="N111" s="6">
        <v>179.98</v>
      </c>
      <c r="O111" s="4">
        <f t="shared" ca="1" si="3"/>
        <v>46283</v>
      </c>
      <c r="P111" s="5">
        <f t="shared" ca="1" si="4"/>
        <v>46283.764101967594</v>
      </c>
      <c r="Q111" s="13">
        <f t="shared" ca="1" si="5"/>
        <v>4</v>
      </c>
    </row>
    <row r="112" spans="1:17" x14ac:dyDescent="0.25">
      <c r="A112" s="2" t="s">
        <v>245</v>
      </c>
      <c r="B112" s="3">
        <v>45550</v>
      </c>
      <c r="C112" s="2" t="s">
        <v>246</v>
      </c>
      <c r="D112" s="2" t="s">
        <v>247</v>
      </c>
      <c r="E112" s="2" t="s">
        <v>52</v>
      </c>
      <c r="F112" s="2" t="s">
        <v>53</v>
      </c>
      <c r="G112" s="2" t="s">
        <v>19</v>
      </c>
      <c r="H112" s="2">
        <v>4</v>
      </c>
      <c r="I112" s="7">
        <v>149.99</v>
      </c>
      <c r="J112" s="2" t="s">
        <v>20</v>
      </c>
      <c r="K112" s="2" t="s">
        <v>40</v>
      </c>
      <c r="L112" s="2" t="s">
        <v>22</v>
      </c>
      <c r="M112" s="3">
        <v>44909</v>
      </c>
      <c r="N112" s="6">
        <v>599.96</v>
      </c>
      <c r="O112" s="4">
        <f t="shared" ca="1" si="3"/>
        <v>46283</v>
      </c>
      <c r="P112" s="5">
        <f t="shared" ca="1" si="4"/>
        <v>46283.764101967594</v>
      </c>
      <c r="Q112" s="13">
        <f t="shared" ca="1" si="5"/>
        <v>3</v>
      </c>
    </row>
    <row r="113" spans="1:17" x14ac:dyDescent="0.25">
      <c r="A113" s="2" t="s">
        <v>248</v>
      </c>
      <c r="B113" s="3">
        <v>45551</v>
      </c>
      <c r="C113" s="2" t="s">
        <v>65</v>
      </c>
      <c r="D113" s="2" t="s">
        <v>66</v>
      </c>
      <c r="E113" s="2" t="s">
        <v>17</v>
      </c>
      <c r="F113" s="2" t="s">
        <v>18</v>
      </c>
      <c r="G113" s="2" t="s">
        <v>19</v>
      </c>
      <c r="H113" s="2">
        <v>2</v>
      </c>
      <c r="I113" s="7">
        <v>249.99</v>
      </c>
      <c r="J113" s="2" t="s">
        <v>34</v>
      </c>
      <c r="K113" s="2" t="s">
        <v>35</v>
      </c>
      <c r="L113" s="2" t="s">
        <v>22</v>
      </c>
      <c r="M113" s="3">
        <v>44993</v>
      </c>
      <c r="N113" s="6">
        <v>499.98</v>
      </c>
      <c r="O113" s="4">
        <f t="shared" ca="1" si="3"/>
        <v>46283</v>
      </c>
      <c r="P113" s="5">
        <f t="shared" ca="1" si="4"/>
        <v>46283.764101967594</v>
      </c>
      <c r="Q113" s="13">
        <f t="shared" ca="1" si="5"/>
        <v>3</v>
      </c>
    </row>
    <row r="114" spans="1:17" x14ac:dyDescent="0.25">
      <c r="A114" s="2" t="s">
        <v>249</v>
      </c>
      <c r="B114" s="3">
        <v>45551</v>
      </c>
      <c r="C114" s="2" t="s">
        <v>154</v>
      </c>
      <c r="D114" s="2" t="s">
        <v>155</v>
      </c>
      <c r="E114" s="2" t="s">
        <v>126</v>
      </c>
      <c r="F114" s="2" t="s">
        <v>127</v>
      </c>
      <c r="G114" s="2" t="s">
        <v>46</v>
      </c>
      <c r="H114" s="2">
        <v>4</v>
      </c>
      <c r="I114" s="7">
        <v>199.99</v>
      </c>
      <c r="J114" s="2" t="s">
        <v>57</v>
      </c>
      <c r="K114" s="2" t="s">
        <v>63</v>
      </c>
      <c r="L114" s="2" t="s">
        <v>22</v>
      </c>
      <c r="M114" s="3">
        <v>44458</v>
      </c>
      <c r="N114" s="6">
        <v>799.96</v>
      </c>
      <c r="O114" s="4">
        <f t="shared" ca="1" si="3"/>
        <v>46283</v>
      </c>
      <c r="P114" s="5">
        <f t="shared" ca="1" si="4"/>
        <v>46283.764101967594</v>
      </c>
      <c r="Q114" s="13">
        <f t="shared" ca="1" si="5"/>
        <v>4</v>
      </c>
    </row>
    <row r="115" spans="1:17" x14ac:dyDescent="0.25">
      <c r="A115" s="2" t="s">
        <v>250</v>
      </c>
      <c r="B115" s="3">
        <v>45554</v>
      </c>
      <c r="C115" s="2" t="s">
        <v>147</v>
      </c>
      <c r="D115" s="2" t="s">
        <v>148</v>
      </c>
      <c r="E115" s="2" t="s">
        <v>117</v>
      </c>
      <c r="F115" s="2" t="s">
        <v>118</v>
      </c>
      <c r="G115" s="2" t="s">
        <v>19</v>
      </c>
      <c r="H115" s="2">
        <v>5</v>
      </c>
      <c r="I115" s="7">
        <v>89.99</v>
      </c>
      <c r="J115" s="2" t="s">
        <v>26</v>
      </c>
      <c r="K115" s="2" t="s">
        <v>63</v>
      </c>
      <c r="L115" s="2" t="s">
        <v>27</v>
      </c>
      <c r="M115" s="3">
        <v>44446</v>
      </c>
      <c r="N115" s="6">
        <v>449.95</v>
      </c>
      <c r="O115" s="4">
        <f t="shared" ca="1" si="3"/>
        <v>46283</v>
      </c>
      <c r="P115" s="5">
        <f t="shared" ca="1" si="4"/>
        <v>46283.764101967594</v>
      </c>
      <c r="Q115" s="13">
        <f t="shared" ca="1" si="5"/>
        <v>5</v>
      </c>
    </row>
    <row r="116" spans="1:17" x14ac:dyDescent="0.25">
      <c r="A116" s="2" t="s">
        <v>251</v>
      </c>
      <c r="B116" s="3">
        <v>45554</v>
      </c>
      <c r="C116" s="2" t="s">
        <v>252</v>
      </c>
      <c r="D116" s="2" t="s">
        <v>253</v>
      </c>
      <c r="E116" s="2" t="s">
        <v>52</v>
      </c>
      <c r="F116" s="2" t="s">
        <v>53</v>
      </c>
      <c r="G116" s="2" t="s">
        <v>19</v>
      </c>
      <c r="H116" s="2">
        <v>1</v>
      </c>
      <c r="I116" s="7">
        <v>149.99</v>
      </c>
      <c r="J116" s="2" t="s">
        <v>34</v>
      </c>
      <c r="K116" s="2" t="s">
        <v>63</v>
      </c>
      <c r="L116" s="2" t="s">
        <v>36</v>
      </c>
      <c r="M116" s="3">
        <v>44482</v>
      </c>
      <c r="N116" s="6">
        <v>149.99</v>
      </c>
      <c r="O116" s="4">
        <f t="shared" ca="1" si="3"/>
        <v>46283</v>
      </c>
      <c r="P116" s="5">
        <f t="shared" ca="1" si="4"/>
        <v>46283.764101967594</v>
      </c>
      <c r="Q116" s="13">
        <f t="shared" ca="1" si="5"/>
        <v>4</v>
      </c>
    </row>
    <row r="117" spans="1:17" x14ac:dyDescent="0.25">
      <c r="A117" s="2" t="s">
        <v>254</v>
      </c>
      <c r="B117" s="3">
        <v>45554</v>
      </c>
      <c r="C117" s="2" t="s">
        <v>72</v>
      </c>
      <c r="D117" s="2" t="s">
        <v>73</v>
      </c>
      <c r="E117" s="2" t="s">
        <v>80</v>
      </c>
      <c r="F117" s="2" t="s">
        <v>81</v>
      </c>
      <c r="G117" s="2" t="s">
        <v>19</v>
      </c>
      <c r="H117" s="2">
        <v>4</v>
      </c>
      <c r="I117" s="7">
        <v>699.99</v>
      </c>
      <c r="J117" s="2" t="s">
        <v>34</v>
      </c>
      <c r="K117" s="2" t="s">
        <v>35</v>
      </c>
      <c r="L117" s="2" t="s">
        <v>22</v>
      </c>
      <c r="M117" s="3">
        <v>44618</v>
      </c>
      <c r="N117" s="6">
        <v>2799.96</v>
      </c>
      <c r="O117" s="4">
        <f t="shared" ca="1" si="3"/>
        <v>46283</v>
      </c>
      <c r="P117" s="5">
        <f t="shared" ca="1" si="4"/>
        <v>46283.764101967594</v>
      </c>
      <c r="Q117" s="13">
        <f t="shared" ca="1" si="5"/>
        <v>4</v>
      </c>
    </row>
    <row r="118" spans="1:17" x14ac:dyDescent="0.25">
      <c r="A118" s="2" t="s">
        <v>255</v>
      </c>
      <c r="B118" s="3">
        <v>45559</v>
      </c>
      <c r="C118" s="2" t="s">
        <v>234</v>
      </c>
      <c r="D118" s="2" t="s">
        <v>235</v>
      </c>
      <c r="E118" s="2" t="s">
        <v>61</v>
      </c>
      <c r="F118" s="2" t="s">
        <v>62</v>
      </c>
      <c r="G118" s="2" t="s">
        <v>19</v>
      </c>
      <c r="H118" s="2">
        <v>3</v>
      </c>
      <c r="I118" s="7">
        <v>899.99</v>
      </c>
      <c r="J118" s="2" t="s">
        <v>26</v>
      </c>
      <c r="K118" s="2" t="s">
        <v>40</v>
      </c>
      <c r="L118" s="2" t="s">
        <v>36</v>
      </c>
      <c r="M118" s="3">
        <v>45157</v>
      </c>
      <c r="N118" s="6">
        <v>2699.97</v>
      </c>
      <c r="O118" s="4">
        <f t="shared" ca="1" si="3"/>
        <v>46283</v>
      </c>
      <c r="P118" s="5">
        <f t="shared" ca="1" si="4"/>
        <v>46283.764101967594</v>
      </c>
      <c r="Q118" s="13">
        <f t="shared" ca="1" si="5"/>
        <v>3</v>
      </c>
    </row>
    <row r="119" spans="1:17" x14ac:dyDescent="0.25">
      <c r="A119" s="2" t="s">
        <v>256</v>
      </c>
      <c r="B119" s="3">
        <v>45560</v>
      </c>
      <c r="C119" s="2" t="s">
        <v>112</v>
      </c>
      <c r="D119" s="2" t="s">
        <v>113</v>
      </c>
      <c r="E119" s="2" t="s">
        <v>44</v>
      </c>
      <c r="F119" s="2" t="s">
        <v>45</v>
      </c>
      <c r="G119" s="2" t="s">
        <v>46</v>
      </c>
      <c r="H119" s="2">
        <v>3</v>
      </c>
      <c r="I119" s="7">
        <v>149.99</v>
      </c>
      <c r="J119" s="2" t="s">
        <v>34</v>
      </c>
      <c r="K119" s="2" t="s">
        <v>63</v>
      </c>
      <c r="L119" s="2" t="s">
        <v>22</v>
      </c>
      <c r="M119" s="3">
        <v>44886</v>
      </c>
      <c r="N119" s="6">
        <v>449.97</v>
      </c>
      <c r="O119" s="4">
        <f t="shared" ca="1" si="3"/>
        <v>46283</v>
      </c>
      <c r="P119" s="5">
        <f t="shared" ca="1" si="4"/>
        <v>46283.764101967594</v>
      </c>
      <c r="Q119" s="13">
        <f t="shared" ca="1" si="5"/>
        <v>3</v>
      </c>
    </row>
    <row r="120" spans="1:17" x14ac:dyDescent="0.25">
      <c r="A120" s="2" t="s">
        <v>257</v>
      </c>
      <c r="B120" s="3">
        <v>45563</v>
      </c>
      <c r="C120" s="2" t="s">
        <v>99</v>
      </c>
      <c r="D120" s="2" t="s">
        <v>100</v>
      </c>
      <c r="E120" s="2" t="s">
        <v>105</v>
      </c>
      <c r="F120" s="2" t="s">
        <v>106</v>
      </c>
      <c r="G120" s="2" t="s">
        <v>46</v>
      </c>
      <c r="H120" s="2">
        <v>2</v>
      </c>
      <c r="I120" s="7">
        <v>299.99</v>
      </c>
      <c r="J120" s="2" t="s">
        <v>57</v>
      </c>
      <c r="K120" s="2" t="s">
        <v>21</v>
      </c>
      <c r="L120" s="2" t="s">
        <v>22</v>
      </c>
      <c r="M120" s="3">
        <v>44569</v>
      </c>
      <c r="N120" s="6">
        <v>599.98</v>
      </c>
      <c r="O120" s="4">
        <f t="shared" ca="1" si="3"/>
        <v>46283</v>
      </c>
      <c r="P120" s="5">
        <f t="shared" ca="1" si="4"/>
        <v>46283.764101967594</v>
      </c>
      <c r="Q120" s="13">
        <f t="shared" ca="1" si="5"/>
        <v>4</v>
      </c>
    </row>
    <row r="121" spans="1:17" x14ac:dyDescent="0.25">
      <c r="A121" s="2" t="s">
        <v>258</v>
      </c>
      <c r="B121" s="3">
        <v>45564</v>
      </c>
      <c r="C121" s="2" t="s">
        <v>259</v>
      </c>
      <c r="D121" s="2" t="s">
        <v>260</v>
      </c>
      <c r="E121" s="2" t="s">
        <v>126</v>
      </c>
      <c r="F121" s="2" t="s">
        <v>127</v>
      </c>
      <c r="G121" s="2" t="s">
        <v>46</v>
      </c>
      <c r="H121" s="2">
        <v>1</v>
      </c>
      <c r="I121" s="7">
        <v>199.99</v>
      </c>
      <c r="J121" s="2" t="s">
        <v>57</v>
      </c>
      <c r="K121" s="2" t="s">
        <v>63</v>
      </c>
      <c r="L121" s="2" t="s">
        <v>36</v>
      </c>
      <c r="M121" s="3">
        <v>44953</v>
      </c>
      <c r="N121" s="6">
        <v>199.99</v>
      </c>
      <c r="O121" s="4">
        <f t="shared" ca="1" si="3"/>
        <v>46283</v>
      </c>
      <c r="P121" s="5">
        <f t="shared" ca="1" si="4"/>
        <v>46283.764101967594</v>
      </c>
      <c r="Q121" s="13">
        <f t="shared" ca="1" si="5"/>
        <v>3</v>
      </c>
    </row>
    <row r="122" spans="1:17" x14ac:dyDescent="0.25">
      <c r="A122" s="2" t="s">
        <v>261</v>
      </c>
      <c r="B122" s="3">
        <v>45566</v>
      </c>
      <c r="C122" s="2" t="s">
        <v>42</v>
      </c>
      <c r="D122" s="2" t="s">
        <v>43</v>
      </c>
      <c r="E122" s="2" t="s">
        <v>105</v>
      </c>
      <c r="F122" s="2" t="s">
        <v>106</v>
      </c>
      <c r="G122" s="2" t="s">
        <v>46</v>
      </c>
      <c r="H122" s="2">
        <v>4</v>
      </c>
      <c r="I122" s="7">
        <v>299.99</v>
      </c>
      <c r="J122" s="2" t="s">
        <v>20</v>
      </c>
      <c r="K122" s="2" t="s">
        <v>21</v>
      </c>
      <c r="L122" s="2" t="s">
        <v>27</v>
      </c>
      <c r="M122" s="3">
        <v>44460</v>
      </c>
      <c r="N122" s="6">
        <v>1199.96</v>
      </c>
      <c r="O122" s="4">
        <f t="shared" ca="1" si="3"/>
        <v>46283</v>
      </c>
      <c r="P122" s="5">
        <f t="shared" ca="1" si="4"/>
        <v>46283.764101967594</v>
      </c>
      <c r="Q122" s="13">
        <f t="shared" ca="1" si="5"/>
        <v>4</v>
      </c>
    </row>
    <row r="123" spans="1:17" x14ac:dyDescent="0.25">
      <c r="A123" s="2" t="s">
        <v>262</v>
      </c>
      <c r="B123" s="3">
        <v>45572</v>
      </c>
      <c r="C123" s="2" t="s">
        <v>89</v>
      </c>
      <c r="D123" s="2" t="s">
        <v>90</v>
      </c>
      <c r="E123" s="2" t="s">
        <v>31</v>
      </c>
      <c r="F123" s="2" t="s">
        <v>32</v>
      </c>
      <c r="G123" s="2" t="s">
        <v>33</v>
      </c>
      <c r="H123" s="2">
        <v>2</v>
      </c>
      <c r="I123" s="7">
        <v>59.99</v>
      </c>
      <c r="J123" s="2" t="s">
        <v>26</v>
      </c>
      <c r="K123" s="2" t="s">
        <v>21</v>
      </c>
      <c r="L123" s="2" t="s">
        <v>22</v>
      </c>
      <c r="M123" s="3">
        <v>44579</v>
      </c>
      <c r="N123" s="6">
        <v>119.98</v>
      </c>
      <c r="O123" s="4">
        <f t="shared" ca="1" si="3"/>
        <v>46283</v>
      </c>
      <c r="P123" s="5">
        <f t="shared" ca="1" si="4"/>
        <v>46283.764101967594</v>
      </c>
      <c r="Q123" s="13">
        <f t="shared" ca="1" si="5"/>
        <v>4</v>
      </c>
    </row>
    <row r="124" spans="1:17" x14ac:dyDescent="0.25">
      <c r="A124" s="2" t="s">
        <v>263</v>
      </c>
      <c r="B124" s="3">
        <v>45572</v>
      </c>
      <c r="C124" s="2" t="s">
        <v>234</v>
      </c>
      <c r="D124" s="2" t="s">
        <v>235</v>
      </c>
      <c r="E124" s="2" t="s">
        <v>52</v>
      </c>
      <c r="F124" s="2" t="s">
        <v>53</v>
      </c>
      <c r="G124" s="2" t="s">
        <v>19</v>
      </c>
      <c r="H124" s="2">
        <v>4</v>
      </c>
      <c r="I124" s="7">
        <v>149.99</v>
      </c>
      <c r="J124" s="2" t="s">
        <v>26</v>
      </c>
      <c r="K124" s="2" t="s">
        <v>40</v>
      </c>
      <c r="L124" s="2" t="s">
        <v>27</v>
      </c>
      <c r="M124" s="3">
        <v>45076</v>
      </c>
      <c r="N124" s="6">
        <v>599.96</v>
      </c>
      <c r="O124" s="4">
        <f t="shared" ca="1" si="3"/>
        <v>46283</v>
      </c>
      <c r="P124" s="5">
        <f t="shared" ca="1" si="4"/>
        <v>46283.764101967594</v>
      </c>
      <c r="Q124" s="13">
        <f t="shared" ca="1" si="5"/>
        <v>3</v>
      </c>
    </row>
    <row r="125" spans="1:17" x14ac:dyDescent="0.25">
      <c r="A125" s="2" t="s">
        <v>264</v>
      </c>
      <c r="B125" s="3">
        <v>45573</v>
      </c>
      <c r="C125" s="2" t="s">
        <v>211</v>
      </c>
      <c r="D125" s="2" t="s">
        <v>212</v>
      </c>
      <c r="E125" s="2" t="s">
        <v>80</v>
      </c>
      <c r="F125" s="2" t="s">
        <v>81</v>
      </c>
      <c r="G125" s="2" t="s">
        <v>19</v>
      </c>
      <c r="H125" s="2">
        <v>2</v>
      </c>
      <c r="I125" s="7">
        <v>699.99</v>
      </c>
      <c r="J125" s="2" t="s">
        <v>57</v>
      </c>
      <c r="K125" s="2" t="s">
        <v>63</v>
      </c>
      <c r="L125" s="2" t="s">
        <v>27</v>
      </c>
      <c r="M125" s="3">
        <v>45274</v>
      </c>
      <c r="N125" s="6">
        <v>1399.98</v>
      </c>
      <c r="O125" s="4">
        <f t="shared" ca="1" si="3"/>
        <v>46283</v>
      </c>
      <c r="P125" s="5">
        <f t="shared" ca="1" si="4"/>
        <v>46283.764101967594</v>
      </c>
      <c r="Q125" s="13">
        <f t="shared" ca="1" si="5"/>
        <v>2</v>
      </c>
    </row>
    <row r="126" spans="1:17" x14ac:dyDescent="0.25">
      <c r="A126" s="2" t="s">
        <v>265</v>
      </c>
      <c r="B126" s="3">
        <v>45573</v>
      </c>
      <c r="C126" s="2" t="s">
        <v>231</v>
      </c>
      <c r="D126" s="2" t="s">
        <v>232</v>
      </c>
      <c r="E126" s="2" t="s">
        <v>44</v>
      </c>
      <c r="F126" s="2" t="s">
        <v>45</v>
      </c>
      <c r="G126" s="2" t="s">
        <v>46</v>
      </c>
      <c r="H126" s="2">
        <v>3</v>
      </c>
      <c r="I126" s="7">
        <v>149.99</v>
      </c>
      <c r="J126" s="2" t="s">
        <v>26</v>
      </c>
      <c r="K126" s="2" t="s">
        <v>35</v>
      </c>
      <c r="L126" s="2" t="s">
        <v>36</v>
      </c>
      <c r="M126" s="3">
        <v>44940</v>
      </c>
      <c r="N126" s="6">
        <v>449.97</v>
      </c>
      <c r="O126" s="4">
        <f t="shared" ca="1" si="3"/>
        <v>46283</v>
      </c>
      <c r="P126" s="5">
        <f t="shared" ca="1" si="4"/>
        <v>46283.764101967594</v>
      </c>
      <c r="Q126" s="13">
        <f t="shared" ca="1" si="5"/>
        <v>3</v>
      </c>
    </row>
    <row r="127" spans="1:17" x14ac:dyDescent="0.25">
      <c r="A127" s="2" t="s">
        <v>266</v>
      </c>
      <c r="B127" s="3">
        <v>45576</v>
      </c>
      <c r="C127" s="2" t="s">
        <v>147</v>
      </c>
      <c r="D127" s="2" t="s">
        <v>148</v>
      </c>
      <c r="E127" s="2" t="s">
        <v>105</v>
      </c>
      <c r="F127" s="2" t="s">
        <v>106</v>
      </c>
      <c r="G127" s="2" t="s">
        <v>46</v>
      </c>
      <c r="H127" s="2">
        <v>3</v>
      </c>
      <c r="I127" s="7">
        <v>299.99</v>
      </c>
      <c r="J127" s="2" t="s">
        <v>26</v>
      </c>
      <c r="K127" s="2" t="s">
        <v>21</v>
      </c>
      <c r="L127" s="2" t="s">
        <v>36</v>
      </c>
      <c r="M127" s="3">
        <v>45174</v>
      </c>
      <c r="N127" s="6">
        <v>899.97</v>
      </c>
      <c r="O127" s="4">
        <f t="shared" ca="1" si="3"/>
        <v>46283</v>
      </c>
      <c r="P127" s="5">
        <f t="shared" ca="1" si="4"/>
        <v>46283.764101967594</v>
      </c>
      <c r="Q127" s="13">
        <f t="shared" ca="1" si="5"/>
        <v>3</v>
      </c>
    </row>
    <row r="128" spans="1:17" x14ac:dyDescent="0.25">
      <c r="A128" s="2" t="s">
        <v>267</v>
      </c>
      <c r="B128" s="3">
        <v>45579</v>
      </c>
      <c r="C128" s="2" t="s">
        <v>83</v>
      </c>
      <c r="D128" s="2" t="s">
        <v>84</v>
      </c>
      <c r="E128" s="2" t="s">
        <v>61</v>
      </c>
      <c r="F128" s="2" t="s">
        <v>62</v>
      </c>
      <c r="G128" s="2" t="s">
        <v>19</v>
      </c>
      <c r="H128" s="2">
        <v>3</v>
      </c>
      <c r="I128" s="7">
        <v>899.99</v>
      </c>
      <c r="J128" s="2" t="s">
        <v>34</v>
      </c>
      <c r="K128" s="2" t="s">
        <v>50</v>
      </c>
      <c r="L128" s="2" t="s">
        <v>22</v>
      </c>
      <c r="M128" s="3">
        <v>45215</v>
      </c>
      <c r="N128" s="6">
        <v>2699.97</v>
      </c>
      <c r="O128" s="4">
        <f t="shared" ca="1" si="3"/>
        <v>46283</v>
      </c>
      <c r="P128" s="5">
        <f t="shared" ca="1" si="4"/>
        <v>46283.764101967594</v>
      </c>
      <c r="Q128" s="13">
        <f t="shared" ca="1" si="5"/>
        <v>2</v>
      </c>
    </row>
    <row r="129" spans="1:17" x14ac:dyDescent="0.25">
      <c r="A129" s="2" t="s">
        <v>268</v>
      </c>
      <c r="B129" s="3">
        <v>45581</v>
      </c>
      <c r="C129" s="2" t="s">
        <v>96</v>
      </c>
      <c r="D129" s="2" t="s">
        <v>97</v>
      </c>
      <c r="E129" s="2" t="s">
        <v>80</v>
      </c>
      <c r="F129" s="2" t="s">
        <v>81</v>
      </c>
      <c r="G129" s="2" t="s">
        <v>19</v>
      </c>
      <c r="H129" s="2">
        <v>5</v>
      </c>
      <c r="I129" s="7">
        <v>699.99</v>
      </c>
      <c r="J129" s="2" t="s">
        <v>20</v>
      </c>
      <c r="K129" s="2" t="s">
        <v>63</v>
      </c>
      <c r="L129" s="2" t="s">
        <v>36</v>
      </c>
      <c r="M129" s="3">
        <v>45008</v>
      </c>
      <c r="N129" s="6">
        <v>3499.95</v>
      </c>
      <c r="O129" s="4">
        <f t="shared" ca="1" si="3"/>
        <v>46283</v>
      </c>
      <c r="P129" s="5">
        <f t="shared" ca="1" si="4"/>
        <v>46283.764101967594</v>
      </c>
      <c r="Q129" s="13">
        <f t="shared" ca="1" si="5"/>
        <v>3</v>
      </c>
    </row>
    <row r="130" spans="1:17" x14ac:dyDescent="0.25">
      <c r="A130" s="2" t="s">
        <v>269</v>
      </c>
      <c r="B130" s="3">
        <v>45581</v>
      </c>
      <c r="C130" s="2" t="s">
        <v>171</v>
      </c>
      <c r="D130" s="2" t="s">
        <v>172</v>
      </c>
      <c r="E130" s="2" t="s">
        <v>80</v>
      </c>
      <c r="F130" s="2" t="s">
        <v>81</v>
      </c>
      <c r="G130" s="2" t="s">
        <v>19</v>
      </c>
      <c r="H130" s="2">
        <v>4</v>
      </c>
      <c r="I130" s="7">
        <v>699.99</v>
      </c>
      <c r="J130" s="2" t="s">
        <v>26</v>
      </c>
      <c r="K130" s="2" t="s">
        <v>21</v>
      </c>
      <c r="L130" s="2" t="s">
        <v>22</v>
      </c>
      <c r="M130" s="3">
        <v>45385</v>
      </c>
      <c r="N130" s="6">
        <v>2799.96</v>
      </c>
      <c r="O130" s="4">
        <f t="shared" ca="1" si="3"/>
        <v>46283</v>
      </c>
      <c r="P130" s="5">
        <f t="shared" ca="1" si="4"/>
        <v>46283.764101967594</v>
      </c>
      <c r="Q130" s="13">
        <f t="shared" ca="1" si="5"/>
        <v>2</v>
      </c>
    </row>
    <row r="131" spans="1:17" x14ac:dyDescent="0.25">
      <c r="A131" s="2" t="s">
        <v>270</v>
      </c>
      <c r="B131" s="3">
        <v>45581</v>
      </c>
      <c r="C131" s="2" t="s">
        <v>150</v>
      </c>
      <c r="D131" s="2" t="s">
        <v>151</v>
      </c>
      <c r="E131" s="2" t="s">
        <v>61</v>
      </c>
      <c r="F131" s="2" t="s">
        <v>62</v>
      </c>
      <c r="G131" s="2" t="s">
        <v>19</v>
      </c>
      <c r="H131" s="2">
        <v>1</v>
      </c>
      <c r="I131" s="7">
        <v>899.99</v>
      </c>
      <c r="J131" s="2" t="s">
        <v>26</v>
      </c>
      <c r="K131" s="2" t="s">
        <v>63</v>
      </c>
      <c r="L131" s="2" t="s">
        <v>36</v>
      </c>
      <c r="M131" s="3">
        <v>45369</v>
      </c>
      <c r="N131" s="6">
        <v>899.99</v>
      </c>
      <c r="O131" s="4">
        <f t="shared" ref="O131:O194" ca="1" si="6">TODAY()</f>
        <v>46283</v>
      </c>
      <c r="P131" s="5">
        <f t="shared" ref="P131:P194" ca="1" si="7">NOW()</f>
        <v>46283.764101967594</v>
      </c>
      <c r="Q131" s="13">
        <f t="shared" ref="Q131:Q194" ca="1" si="8">DATEDIF(M131, $O$2, "Y")</f>
        <v>2</v>
      </c>
    </row>
    <row r="132" spans="1:17" x14ac:dyDescent="0.25">
      <c r="A132" s="2" t="s">
        <v>271</v>
      </c>
      <c r="B132" s="3">
        <v>45583</v>
      </c>
      <c r="C132" s="2" t="s">
        <v>226</v>
      </c>
      <c r="D132" s="2" t="s">
        <v>227</v>
      </c>
      <c r="E132" s="2" t="s">
        <v>52</v>
      </c>
      <c r="F132" s="2" t="s">
        <v>53</v>
      </c>
      <c r="G132" s="2" t="s">
        <v>19</v>
      </c>
      <c r="H132" s="2">
        <v>2</v>
      </c>
      <c r="I132" s="7">
        <v>149.99</v>
      </c>
      <c r="J132" s="2" t="s">
        <v>26</v>
      </c>
      <c r="K132" s="2" t="s">
        <v>50</v>
      </c>
      <c r="L132" s="2" t="s">
        <v>22</v>
      </c>
      <c r="M132" s="3">
        <v>44916</v>
      </c>
      <c r="N132" s="6">
        <v>299.98</v>
      </c>
      <c r="O132" s="4">
        <f t="shared" ca="1" si="6"/>
        <v>46283</v>
      </c>
      <c r="P132" s="5">
        <f t="shared" ca="1" si="7"/>
        <v>46283.764101967594</v>
      </c>
      <c r="Q132" s="13">
        <f t="shared" ca="1" si="8"/>
        <v>3</v>
      </c>
    </row>
    <row r="133" spans="1:17" x14ac:dyDescent="0.25">
      <c r="A133" s="2" t="s">
        <v>272</v>
      </c>
      <c r="B133" s="3">
        <v>45586</v>
      </c>
      <c r="C133" s="2" t="s">
        <v>226</v>
      </c>
      <c r="D133" s="2" t="s">
        <v>227</v>
      </c>
      <c r="E133" s="2" t="s">
        <v>117</v>
      </c>
      <c r="F133" s="2" t="s">
        <v>118</v>
      </c>
      <c r="G133" s="2" t="s">
        <v>19</v>
      </c>
      <c r="H133" s="2">
        <v>3</v>
      </c>
      <c r="I133" s="7">
        <v>89.99</v>
      </c>
      <c r="J133" s="2" t="s">
        <v>34</v>
      </c>
      <c r="K133" s="2" t="s">
        <v>21</v>
      </c>
      <c r="L133" s="2" t="s">
        <v>22</v>
      </c>
      <c r="M133" s="3">
        <v>44551</v>
      </c>
      <c r="N133" s="6">
        <v>269.97000000000003</v>
      </c>
      <c r="O133" s="4">
        <f t="shared" ca="1" si="6"/>
        <v>46283</v>
      </c>
      <c r="P133" s="5">
        <f t="shared" ca="1" si="7"/>
        <v>46283.764101967594</v>
      </c>
      <c r="Q133" s="13">
        <f t="shared" ca="1" si="8"/>
        <v>4</v>
      </c>
    </row>
    <row r="134" spans="1:17" x14ac:dyDescent="0.25">
      <c r="A134" s="2" t="s">
        <v>273</v>
      </c>
      <c r="B134" s="3">
        <v>45588</v>
      </c>
      <c r="C134" s="2" t="s">
        <v>38</v>
      </c>
      <c r="D134" s="2" t="s">
        <v>39</v>
      </c>
      <c r="E134" s="2" t="s">
        <v>52</v>
      </c>
      <c r="F134" s="2" t="s">
        <v>53</v>
      </c>
      <c r="G134" s="2" t="s">
        <v>19</v>
      </c>
      <c r="H134" s="2">
        <v>2</v>
      </c>
      <c r="I134" s="7">
        <v>149.99</v>
      </c>
      <c r="J134" s="2" t="s">
        <v>34</v>
      </c>
      <c r="K134" s="2" t="s">
        <v>21</v>
      </c>
      <c r="L134" s="2" t="s">
        <v>22</v>
      </c>
      <c r="M134" s="3">
        <v>44473</v>
      </c>
      <c r="N134" s="6">
        <v>299.98</v>
      </c>
      <c r="O134" s="4">
        <f t="shared" ca="1" si="6"/>
        <v>46283</v>
      </c>
      <c r="P134" s="5">
        <f t="shared" ca="1" si="7"/>
        <v>46283.764101967594</v>
      </c>
      <c r="Q134" s="13">
        <f t="shared" ca="1" si="8"/>
        <v>4</v>
      </c>
    </row>
    <row r="135" spans="1:17" x14ac:dyDescent="0.25">
      <c r="A135" s="2" t="s">
        <v>274</v>
      </c>
      <c r="B135" s="3">
        <v>45588</v>
      </c>
      <c r="C135" s="2" t="s">
        <v>154</v>
      </c>
      <c r="D135" s="2" t="s">
        <v>155</v>
      </c>
      <c r="E135" s="2" t="s">
        <v>80</v>
      </c>
      <c r="F135" s="2" t="s">
        <v>81</v>
      </c>
      <c r="G135" s="2" t="s">
        <v>19</v>
      </c>
      <c r="H135" s="2">
        <v>2</v>
      </c>
      <c r="I135" s="7">
        <v>699.99</v>
      </c>
      <c r="J135" s="2" t="s">
        <v>20</v>
      </c>
      <c r="K135" s="2" t="s">
        <v>21</v>
      </c>
      <c r="L135" s="2" t="s">
        <v>22</v>
      </c>
      <c r="M135" s="3">
        <v>44992</v>
      </c>
      <c r="N135" s="6">
        <v>1399.98</v>
      </c>
      <c r="O135" s="4">
        <f t="shared" ca="1" si="6"/>
        <v>46283</v>
      </c>
      <c r="P135" s="5">
        <f t="shared" ca="1" si="7"/>
        <v>46283.764101967594</v>
      </c>
      <c r="Q135" s="13">
        <f t="shared" ca="1" si="8"/>
        <v>3</v>
      </c>
    </row>
    <row r="136" spans="1:17" x14ac:dyDescent="0.25">
      <c r="A136" s="2" t="s">
        <v>275</v>
      </c>
      <c r="B136" s="3">
        <v>45589</v>
      </c>
      <c r="C136" s="2" t="s">
        <v>158</v>
      </c>
      <c r="D136" s="2" t="s">
        <v>159</v>
      </c>
      <c r="E136" s="2" t="s">
        <v>80</v>
      </c>
      <c r="F136" s="2" t="s">
        <v>81</v>
      </c>
      <c r="G136" s="2" t="s">
        <v>19</v>
      </c>
      <c r="H136" s="2">
        <v>5</v>
      </c>
      <c r="I136" s="7">
        <v>699.99</v>
      </c>
      <c r="J136" s="2" t="s">
        <v>20</v>
      </c>
      <c r="K136" s="2" t="s">
        <v>40</v>
      </c>
      <c r="L136" s="2" t="s">
        <v>27</v>
      </c>
      <c r="M136" s="3">
        <v>44635</v>
      </c>
      <c r="N136" s="6">
        <v>3499.95</v>
      </c>
      <c r="O136" s="4">
        <f t="shared" ca="1" si="6"/>
        <v>46283</v>
      </c>
      <c r="P136" s="5">
        <f t="shared" ca="1" si="7"/>
        <v>46283.764101967594</v>
      </c>
      <c r="Q136" s="13">
        <f t="shared" ca="1" si="8"/>
        <v>4</v>
      </c>
    </row>
    <row r="137" spans="1:17" x14ac:dyDescent="0.25">
      <c r="A137" s="2" t="s">
        <v>276</v>
      </c>
      <c r="B137" s="3">
        <v>45592</v>
      </c>
      <c r="C137" s="2" t="s">
        <v>171</v>
      </c>
      <c r="D137" s="2" t="s">
        <v>172</v>
      </c>
      <c r="E137" s="2" t="s">
        <v>117</v>
      </c>
      <c r="F137" s="2" t="s">
        <v>118</v>
      </c>
      <c r="G137" s="2" t="s">
        <v>19</v>
      </c>
      <c r="H137" s="2">
        <v>3</v>
      </c>
      <c r="I137" s="7">
        <v>89.99</v>
      </c>
      <c r="J137" s="2" t="s">
        <v>26</v>
      </c>
      <c r="K137" s="2" t="s">
        <v>40</v>
      </c>
      <c r="L137" s="2" t="s">
        <v>36</v>
      </c>
      <c r="M137" s="3">
        <v>44615</v>
      </c>
      <c r="N137" s="6">
        <v>269.97000000000003</v>
      </c>
      <c r="O137" s="4">
        <f t="shared" ca="1" si="6"/>
        <v>46283</v>
      </c>
      <c r="P137" s="5">
        <f t="shared" ca="1" si="7"/>
        <v>46283.764101967594</v>
      </c>
      <c r="Q137" s="13">
        <f t="shared" ca="1" si="8"/>
        <v>4</v>
      </c>
    </row>
    <row r="138" spans="1:17" x14ac:dyDescent="0.25">
      <c r="A138" s="2" t="s">
        <v>277</v>
      </c>
      <c r="B138" s="3">
        <v>45597</v>
      </c>
      <c r="C138" s="2" t="s">
        <v>15</v>
      </c>
      <c r="D138" s="2" t="s">
        <v>16</v>
      </c>
      <c r="E138" s="2" t="s">
        <v>17</v>
      </c>
      <c r="F138" s="2" t="s">
        <v>18</v>
      </c>
      <c r="G138" s="2" t="s">
        <v>19</v>
      </c>
      <c r="H138" s="2">
        <v>5</v>
      </c>
      <c r="I138" s="7">
        <v>249.99</v>
      </c>
      <c r="J138" s="2" t="s">
        <v>26</v>
      </c>
      <c r="K138" s="2" t="s">
        <v>35</v>
      </c>
      <c r="L138" s="2" t="s">
        <v>36</v>
      </c>
      <c r="M138" s="3">
        <v>44881</v>
      </c>
      <c r="N138" s="6">
        <v>1249.95</v>
      </c>
      <c r="O138" s="4">
        <f t="shared" ca="1" si="6"/>
        <v>46283</v>
      </c>
      <c r="P138" s="5">
        <f t="shared" ca="1" si="7"/>
        <v>46283.764101967594</v>
      </c>
      <c r="Q138" s="13">
        <f t="shared" ca="1" si="8"/>
        <v>3</v>
      </c>
    </row>
    <row r="139" spans="1:17" x14ac:dyDescent="0.25">
      <c r="A139" s="2" t="s">
        <v>278</v>
      </c>
      <c r="B139" s="3">
        <v>45600</v>
      </c>
      <c r="C139" s="2" t="s">
        <v>65</v>
      </c>
      <c r="D139" s="2" t="s">
        <v>66</v>
      </c>
      <c r="E139" s="2" t="s">
        <v>105</v>
      </c>
      <c r="F139" s="2" t="s">
        <v>106</v>
      </c>
      <c r="G139" s="2" t="s">
        <v>46</v>
      </c>
      <c r="H139" s="2">
        <v>3</v>
      </c>
      <c r="I139" s="7">
        <v>299.99</v>
      </c>
      <c r="J139" s="2" t="s">
        <v>26</v>
      </c>
      <c r="K139" s="2" t="s">
        <v>35</v>
      </c>
      <c r="L139" s="2" t="s">
        <v>36</v>
      </c>
      <c r="M139" s="3">
        <v>44502</v>
      </c>
      <c r="N139" s="6">
        <v>899.97</v>
      </c>
      <c r="O139" s="4">
        <f t="shared" ca="1" si="6"/>
        <v>46283</v>
      </c>
      <c r="P139" s="5">
        <f t="shared" ca="1" si="7"/>
        <v>46283.764101967594</v>
      </c>
      <c r="Q139" s="13">
        <f t="shared" ca="1" si="8"/>
        <v>4</v>
      </c>
    </row>
    <row r="140" spans="1:17" x14ac:dyDescent="0.25">
      <c r="A140" s="2" t="s">
        <v>279</v>
      </c>
      <c r="B140" s="3">
        <v>45603</v>
      </c>
      <c r="C140" s="2" t="s">
        <v>99</v>
      </c>
      <c r="D140" s="2" t="s">
        <v>100</v>
      </c>
      <c r="E140" s="2" t="s">
        <v>117</v>
      </c>
      <c r="F140" s="2" t="s">
        <v>118</v>
      </c>
      <c r="G140" s="2" t="s">
        <v>19</v>
      </c>
      <c r="H140" s="2">
        <v>3</v>
      </c>
      <c r="I140" s="7">
        <v>89.99</v>
      </c>
      <c r="J140" s="2" t="s">
        <v>26</v>
      </c>
      <c r="K140" s="2" t="s">
        <v>40</v>
      </c>
      <c r="L140" s="2" t="s">
        <v>27</v>
      </c>
      <c r="M140" s="3">
        <v>44420</v>
      </c>
      <c r="N140" s="6">
        <v>269.97000000000003</v>
      </c>
      <c r="O140" s="4">
        <f t="shared" ca="1" si="6"/>
        <v>46283</v>
      </c>
      <c r="P140" s="5">
        <f t="shared" ca="1" si="7"/>
        <v>46283.764101967594</v>
      </c>
      <c r="Q140" s="13">
        <f t="shared" ca="1" si="8"/>
        <v>5</v>
      </c>
    </row>
    <row r="141" spans="1:17" x14ac:dyDescent="0.25">
      <c r="A141" s="2" t="s">
        <v>280</v>
      </c>
      <c r="B141" s="3">
        <v>45604</v>
      </c>
      <c r="C141" s="2" t="s">
        <v>89</v>
      </c>
      <c r="D141" s="2" t="s">
        <v>90</v>
      </c>
      <c r="E141" s="2" t="s">
        <v>44</v>
      </c>
      <c r="F141" s="2" t="s">
        <v>45</v>
      </c>
      <c r="G141" s="2" t="s">
        <v>46</v>
      </c>
      <c r="H141" s="2">
        <v>2</v>
      </c>
      <c r="I141" s="7">
        <v>149.99</v>
      </c>
      <c r="J141" s="2" t="s">
        <v>26</v>
      </c>
      <c r="K141" s="2" t="s">
        <v>50</v>
      </c>
      <c r="L141" s="2" t="s">
        <v>27</v>
      </c>
      <c r="M141" s="3">
        <v>44848</v>
      </c>
      <c r="N141" s="6">
        <v>299.98</v>
      </c>
      <c r="O141" s="4">
        <f t="shared" ca="1" si="6"/>
        <v>46283</v>
      </c>
      <c r="P141" s="5">
        <f t="shared" ca="1" si="7"/>
        <v>46283.764101967594</v>
      </c>
      <c r="Q141" s="13">
        <f t="shared" ca="1" si="8"/>
        <v>3</v>
      </c>
    </row>
    <row r="142" spans="1:17" x14ac:dyDescent="0.25">
      <c r="A142" s="2" t="s">
        <v>281</v>
      </c>
      <c r="B142" s="3">
        <v>45605</v>
      </c>
      <c r="C142" s="2" t="s">
        <v>185</v>
      </c>
      <c r="D142" s="2" t="s">
        <v>186</v>
      </c>
      <c r="E142" s="2" t="s">
        <v>17</v>
      </c>
      <c r="F142" s="2" t="s">
        <v>18</v>
      </c>
      <c r="G142" s="2" t="s">
        <v>19</v>
      </c>
      <c r="H142" s="2">
        <v>1</v>
      </c>
      <c r="I142" s="7">
        <v>249.99</v>
      </c>
      <c r="J142" s="2" t="s">
        <v>26</v>
      </c>
      <c r="K142" s="2" t="s">
        <v>40</v>
      </c>
      <c r="L142" s="2" t="s">
        <v>27</v>
      </c>
      <c r="M142" s="3">
        <v>44828</v>
      </c>
      <c r="N142" s="6">
        <v>249.99</v>
      </c>
      <c r="O142" s="4">
        <f t="shared" ca="1" si="6"/>
        <v>46283</v>
      </c>
      <c r="P142" s="5">
        <f t="shared" ca="1" si="7"/>
        <v>46283.764101967594</v>
      </c>
      <c r="Q142" s="13">
        <f t="shared" ca="1" si="8"/>
        <v>3</v>
      </c>
    </row>
    <row r="143" spans="1:17" x14ac:dyDescent="0.25">
      <c r="A143" s="2" t="s">
        <v>282</v>
      </c>
      <c r="B143" s="3">
        <v>45607</v>
      </c>
      <c r="C143" s="2" t="s">
        <v>72</v>
      </c>
      <c r="D143" s="2" t="s">
        <v>73</v>
      </c>
      <c r="E143" s="2" t="s">
        <v>52</v>
      </c>
      <c r="F143" s="2" t="s">
        <v>53</v>
      </c>
      <c r="G143" s="2" t="s">
        <v>19</v>
      </c>
      <c r="H143" s="2">
        <v>3</v>
      </c>
      <c r="I143" s="7">
        <v>149.99</v>
      </c>
      <c r="J143" s="2" t="s">
        <v>20</v>
      </c>
      <c r="K143" s="2" t="s">
        <v>40</v>
      </c>
      <c r="L143" s="2" t="s">
        <v>22</v>
      </c>
      <c r="M143" s="3">
        <v>44769</v>
      </c>
      <c r="N143" s="6">
        <v>449.97</v>
      </c>
      <c r="O143" s="4">
        <f t="shared" ca="1" si="6"/>
        <v>46283</v>
      </c>
      <c r="P143" s="5">
        <f t="shared" ca="1" si="7"/>
        <v>46283.764101967594</v>
      </c>
      <c r="Q143" s="13">
        <f t="shared" ca="1" si="8"/>
        <v>4</v>
      </c>
    </row>
    <row r="144" spans="1:17" x14ac:dyDescent="0.25">
      <c r="A144" s="2" t="s">
        <v>283</v>
      </c>
      <c r="B144" s="3">
        <v>45607</v>
      </c>
      <c r="C144" s="2" t="s">
        <v>15</v>
      </c>
      <c r="D144" s="2" t="s">
        <v>16</v>
      </c>
      <c r="E144" s="2" t="s">
        <v>31</v>
      </c>
      <c r="F144" s="2" t="s">
        <v>32</v>
      </c>
      <c r="G144" s="2" t="s">
        <v>33</v>
      </c>
      <c r="H144" s="2">
        <v>5</v>
      </c>
      <c r="I144" s="7">
        <v>59.99</v>
      </c>
      <c r="J144" s="2" t="s">
        <v>34</v>
      </c>
      <c r="K144" s="2" t="s">
        <v>50</v>
      </c>
      <c r="L144" s="2" t="s">
        <v>27</v>
      </c>
      <c r="M144" s="3">
        <v>44694</v>
      </c>
      <c r="N144" s="6">
        <v>299.95</v>
      </c>
      <c r="O144" s="4">
        <f t="shared" ca="1" si="6"/>
        <v>46283</v>
      </c>
      <c r="P144" s="5">
        <f t="shared" ca="1" si="7"/>
        <v>46283.764101967594</v>
      </c>
      <c r="Q144" s="13">
        <f t="shared" ca="1" si="8"/>
        <v>4</v>
      </c>
    </row>
    <row r="145" spans="1:17" x14ac:dyDescent="0.25">
      <c r="A145" s="2" t="s">
        <v>284</v>
      </c>
      <c r="B145" s="3">
        <v>45607</v>
      </c>
      <c r="C145" s="2" t="s">
        <v>99</v>
      </c>
      <c r="D145" s="2" t="s">
        <v>100</v>
      </c>
      <c r="E145" s="2" t="s">
        <v>17</v>
      </c>
      <c r="F145" s="2" t="s">
        <v>18</v>
      </c>
      <c r="G145" s="2" t="s">
        <v>19</v>
      </c>
      <c r="H145" s="2">
        <v>4</v>
      </c>
      <c r="I145" s="7">
        <v>249.99</v>
      </c>
      <c r="J145" s="2" t="s">
        <v>26</v>
      </c>
      <c r="K145" s="2" t="s">
        <v>50</v>
      </c>
      <c r="L145" s="2" t="s">
        <v>36</v>
      </c>
      <c r="M145" s="3">
        <v>44659</v>
      </c>
      <c r="N145" s="6">
        <v>999.96</v>
      </c>
      <c r="O145" s="4">
        <f t="shared" ca="1" si="6"/>
        <v>46283</v>
      </c>
      <c r="P145" s="5">
        <f t="shared" ca="1" si="7"/>
        <v>46283.764101967594</v>
      </c>
      <c r="Q145" s="13">
        <f t="shared" ca="1" si="8"/>
        <v>4</v>
      </c>
    </row>
    <row r="146" spans="1:17" x14ac:dyDescent="0.25">
      <c r="A146" s="2" t="s">
        <v>285</v>
      </c>
      <c r="B146" s="3">
        <v>45608</v>
      </c>
      <c r="C146" s="2" t="s">
        <v>154</v>
      </c>
      <c r="D146" s="2" t="s">
        <v>155</v>
      </c>
      <c r="E146" s="2" t="s">
        <v>44</v>
      </c>
      <c r="F146" s="2" t="s">
        <v>45</v>
      </c>
      <c r="G146" s="2" t="s">
        <v>46</v>
      </c>
      <c r="H146" s="2">
        <v>5</v>
      </c>
      <c r="I146" s="7">
        <v>149.99</v>
      </c>
      <c r="J146" s="2" t="s">
        <v>34</v>
      </c>
      <c r="K146" s="2" t="s">
        <v>21</v>
      </c>
      <c r="L146" s="2" t="s">
        <v>22</v>
      </c>
      <c r="M146" s="3">
        <v>44901</v>
      </c>
      <c r="N146" s="6">
        <v>749.95</v>
      </c>
      <c r="O146" s="4">
        <f t="shared" ca="1" si="6"/>
        <v>46283</v>
      </c>
      <c r="P146" s="5">
        <f t="shared" ca="1" si="7"/>
        <v>46283.764101967594</v>
      </c>
      <c r="Q146" s="13">
        <f t="shared" ca="1" si="8"/>
        <v>3</v>
      </c>
    </row>
    <row r="147" spans="1:17" x14ac:dyDescent="0.25">
      <c r="A147" s="2" t="s">
        <v>286</v>
      </c>
      <c r="B147" s="3">
        <v>45608</v>
      </c>
      <c r="C147" s="2" t="s">
        <v>83</v>
      </c>
      <c r="D147" s="2" t="s">
        <v>84</v>
      </c>
      <c r="E147" s="2" t="s">
        <v>31</v>
      </c>
      <c r="F147" s="2" t="s">
        <v>32</v>
      </c>
      <c r="G147" s="2" t="s">
        <v>33</v>
      </c>
      <c r="H147" s="2">
        <v>3</v>
      </c>
      <c r="I147" s="7">
        <v>59.99</v>
      </c>
      <c r="J147" s="2" t="s">
        <v>57</v>
      </c>
      <c r="K147" s="2" t="s">
        <v>35</v>
      </c>
      <c r="L147" s="2" t="s">
        <v>36</v>
      </c>
      <c r="M147" s="3">
        <v>45260</v>
      </c>
      <c r="N147" s="6">
        <v>179.97</v>
      </c>
      <c r="O147" s="4">
        <f t="shared" ca="1" si="6"/>
        <v>46283</v>
      </c>
      <c r="P147" s="5">
        <f t="shared" ca="1" si="7"/>
        <v>46283.764101967594</v>
      </c>
      <c r="Q147" s="13">
        <f t="shared" ca="1" si="8"/>
        <v>2</v>
      </c>
    </row>
    <row r="148" spans="1:17" x14ac:dyDescent="0.25">
      <c r="A148" s="2" t="s">
        <v>287</v>
      </c>
      <c r="B148" s="3">
        <v>45613</v>
      </c>
      <c r="C148" s="2" t="s">
        <v>234</v>
      </c>
      <c r="D148" s="2" t="s">
        <v>235</v>
      </c>
      <c r="E148" s="2" t="s">
        <v>44</v>
      </c>
      <c r="F148" s="2" t="s">
        <v>45</v>
      </c>
      <c r="G148" s="2" t="s">
        <v>46</v>
      </c>
      <c r="H148" s="2">
        <v>5</v>
      </c>
      <c r="I148" s="7">
        <v>149.99</v>
      </c>
      <c r="J148" s="2" t="s">
        <v>20</v>
      </c>
      <c r="K148" s="2" t="s">
        <v>40</v>
      </c>
      <c r="L148" s="2" t="s">
        <v>22</v>
      </c>
      <c r="M148" s="3">
        <v>44869</v>
      </c>
      <c r="N148" s="6">
        <v>749.95</v>
      </c>
      <c r="O148" s="4">
        <f t="shared" ca="1" si="6"/>
        <v>46283</v>
      </c>
      <c r="P148" s="5">
        <f t="shared" ca="1" si="7"/>
        <v>46283.764101967594</v>
      </c>
      <c r="Q148" s="13">
        <f t="shared" ca="1" si="8"/>
        <v>3</v>
      </c>
    </row>
    <row r="149" spans="1:17" x14ac:dyDescent="0.25">
      <c r="A149" s="2" t="s">
        <v>288</v>
      </c>
      <c r="B149" s="3">
        <v>45613</v>
      </c>
      <c r="C149" s="2" t="s">
        <v>86</v>
      </c>
      <c r="D149" s="2" t="s">
        <v>87</v>
      </c>
      <c r="E149" s="2" t="s">
        <v>80</v>
      </c>
      <c r="F149" s="2" t="s">
        <v>81</v>
      </c>
      <c r="G149" s="2" t="s">
        <v>19</v>
      </c>
      <c r="H149" s="2">
        <v>2</v>
      </c>
      <c r="I149" s="7">
        <v>699.99</v>
      </c>
      <c r="J149" s="2" t="s">
        <v>34</v>
      </c>
      <c r="K149" s="2" t="s">
        <v>50</v>
      </c>
      <c r="L149" s="2" t="s">
        <v>36</v>
      </c>
      <c r="M149" s="3">
        <v>44770</v>
      </c>
      <c r="N149" s="6">
        <v>1399.98</v>
      </c>
      <c r="O149" s="4">
        <f t="shared" ca="1" si="6"/>
        <v>46283</v>
      </c>
      <c r="P149" s="5">
        <f t="shared" ca="1" si="7"/>
        <v>46283.764101967594</v>
      </c>
      <c r="Q149" s="13">
        <f t="shared" ca="1" si="8"/>
        <v>4</v>
      </c>
    </row>
    <row r="150" spans="1:17" x14ac:dyDescent="0.25">
      <c r="A150" s="2" t="s">
        <v>289</v>
      </c>
      <c r="B150" s="3">
        <v>45617</v>
      </c>
      <c r="C150" s="2" t="s">
        <v>123</v>
      </c>
      <c r="D150" s="2" t="s">
        <v>124</v>
      </c>
      <c r="E150" s="2" t="s">
        <v>126</v>
      </c>
      <c r="F150" s="2" t="s">
        <v>127</v>
      </c>
      <c r="G150" s="2" t="s">
        <v>46</v>
      </c>
      <c r="H150" s="2">
        <v>4</v>
      </c>
      <c r="I150" s="7">
        <v>199.99</v>
      </c>
      <c r="J150" s="2" t="s">
        <v>57</v>
      </c>
      <c r="K150" s="2" t="s">
        <v>21</v>
      </c>
      <c r="L150" s="2" t="s">
        <v>27</v>
      </c>
      <c r="M150" s="3">
        <v>44427</v>
      </c>
      <c r="N150" s="6">
        <v>799.96</v>
      </c>
      <c r="O150" s="4">
        <f t="shared" ca="1" si="6"/>
        <v>46283</v>
      </c>
      <c r="P150" s="5">
        <f t="shared" ca="1" si="7"/>
        <v>46283.764101967594</v>
      </c>
      <c r="Q150" s="13">
        <f t="shared" ca="1" si="8"/>
        <v>5</v>
      </c>
    </row>
    <row r="151" spans="1:17" x14ac:dyDescent="0.25">
      <c r="A151" s="2" t="s">
        <v>290</v>
      </c>
      <c r="B151" s="3">
        <v>45619</v>
      </c>
      <c r="C151" s="2" t="s">
        <v>192</v>
      </c>
      <c r="D151" s="2" t="s">
        <v>193</v>
      </c>
      <c r="E151" s="2" t="s">
        <v>31</v>
      </c>
      <c r="F151" s="2" t="s">
        <v>32</v>
      </c>
      <c r="G151" s="2" t="s">
        <v>33</v>
      </c>
      <c r="H151" s="2">
        <v>1</v>
      </c>
      <c r="I151" s="7">
        <v>59.99</v>
      </c>
      <c r="J151" s="2" t="s">
        <v>57</v>
      </c>
      <c r="K151" s="2" t="s">
        <v>50</v>
      </c>
      <c r="L151" s="2" t="s">
        <v>36</v>
      </c>
      <c r="M151" s="3">
        <v>44560</v>
      </c>
      <c r="N151" s="6">
        <v>59.99</v>
      </c>
      <c r="O151" s="4">
        <f t="shared" ca="1" si="6"/>
        <v>46283</v>
      </c>
      <c r="P151" s="5">
        <f t="shared" ca="1" si="7"/>
        <v>46283.764101967594</v>
      </c>
      <c r="Q151" s="13">
        <f t="shared" ca="1" si="8"/>
        <v>4</v>
      </c>
    </row>
    <row r="152" spans="1:17" x14ac:dyDescent="0.25">
      <c r="A152" s="2" t="s">
        <v>291</v>
      </c>
      <c r="B152" s="3">
        <v>45619</v>
      </c>
      <c r="C152" s="2" t="s">
        <v>154</v>
      </c>
      <c r="D152" s="2" t="s">
        <v>155</v>
      </c>
      <c r="E152" s="2" t="s">
        <v>80</v>
      </c>
      <c r="F152" s="2" t="s">
        <v>81</v>
      </c>
      <c r="G152" s="2" t="s">
        <v>19</v>
      </c>
      <c r="H152" s="2">
        <v>3</v>
      </c>
      <c r="I152" s="7">
        <v>699.99</v>
      </c>
      <c r="J152" s="2" t="s">
        <v>34</v>
      </c>
      <c r="K152" s="2" t="s">
        <v>50</v>
      </c>
      <c r="L152" s="2" t="s">
        <v>36</v>
      </c>
      <c r="M152" s="3">
        <v>44583</v>
      </c>
      <c r="N152" s="6">
        <v>2099.9699999999998</v>
      </c>
      <c r="O152" s="4">
        <f t="shared" ca="1" si="6"/>
        <v>46283</v>
      </c>
      <c r="P152" s="5">
        <f t="shared" ca="1" si="7"/>
        <v>46283.764101967594</v>
      </c>
      <c r="Q152" s="13">
        <f t="shared" ca="1" si="8"/>
        <v>4</v>
      </c>
    </row>
    <row r="153" spans="1:17" x14ac:dyDescent="0.25">
      <c r="A153" s="2" t="s">
        <v>292</v>
      </c>
      <c r="B153" s="3">
        <v>45622</v>
      </c>
      <c r="C153" s="2" t="s">
        <v>293</v>
      </c>
      <c r="D153" s="2" t="s">
        <v>294</v>
      </c>
      <c r="E153" s="2" t="s">
        <v>17</v>
      </c>
      <c r="F153" s="2" t="s">
        <v>18</v>
      </c>
      <c r="G153" s="2" t="s">
        <v>19</v>
      </c>
      <c r="H153" s="2">
        <v>5</v>
      </c>
      <c r="I153" s="7">
        <v>249.99</v>
      </c>
      <c r="J153" s="2" t="s">
        <v>26</v>
      </c>
      <c r="K153" s="2" t="s">
        <v>40</v>
      </c>
      <c r="L153" s="2" t="s">
        <v>22</v>
      </c>
      <c r="M153" s="3">
        <v>44873</v>
      </c>
      <c r="N153" s="6">
        <v>1249.95</v>
      </c>
      <c r="O153" s="4">
        <f t="shared" ca="1" si="6"/>
        <v>46283</v>
      </c>
      <c r="P153" s="5">
        <f t="shared" ca="1" si="7"/>
        <v>46283.764101967594</v>
      </c>
      <c r="Q153" s="13">
        <f t="shared" ca="1" si="8"/>
        <v>3</v>
      </c>
    </row>
    <row r="154" spans="1:17" x14ac:dyDescent="0.25">
      <c r="A154" s="2" t="s">
        <v>295</v>
      </c>
      <c r="B154" s="3">
        <v>45623</v>
      </c>
      <c r="C154" s="2" t="s">
        <v>112</v>
      </c>
      <c r="D154" s="2" t="s">
        <v>113</v>
      </c>
      <c r="E154" s="2" t="s">
        <v>44</v>
      </c>
      <c r="F154" s="2" t="s">
        <v>45</v>
      </c>
      <c r="G154" s="2" t="s">
        <v>46</v>
      </c>
      <c r="H154" s="2">
        <v>2</v>
      </c>
      <c r="I154" s="7">
        <v>149.99</v>
      </c>
      <c r="J154" s="2" t="s">
        <v>20</v>
      </c>
      <c r="K154" s="2" t="s">
        <v>35</v>
      </c>
      <c r="L154" s="2" t="s">
        <v>36</v>
      </c>
      <c r="M154" s="3">
        <v>45101</v>
      </c>
      <c r="N154" s="6">
        <v>299.98</v>
      </c>
      <c r="O154" s="4">
        <f t="shared" ca="1" si="6"/>
        <v>46283</v>
      </c>
      <c r="P154" s="5">
        <f t="shared" ca="1" si="7"/>
        <v>46283.764101967594</v>
      </c>
      <c r="Q154" s="13">
        <f t="shared" ca="1" si="8"/>
        <v>3</v>
      </c>
    </row>
    <row r="155" spans="1:17" x14ac:dyDescent="0.25">
      <c r="A155" s="2" t="s">
        <v>296</v>
      </c>
      <c r="B155" s="3">
        <v>45627</v>
      </c>
      <c r="C155" s="2" t="s">
        <v>29</v>
      </c>
      <c r="D155" s="2" t="s">
        <v>30</v>
      </c>
      <c r="E155" s="2" t="s">
        <v>105</v>
      </c>
      <c r="F155" s="2" t="s">
        <v>106</v>
      </c>
      <c r="G155" s="2" t="s">
        <v>46</v>
      </c>
      <c r="H155" s="2">
        <v>3</v>
      </c>
      <c r="I155" s="7">
        <v>299.99</v>
      </c>
      <c r="J155" s="2" t="s">
        <v>20</v>
      </c>
      <c r="K155" s="2" t="s">
        <v>35</v>
      </c>
      <c r="L155" s="2" t="s">
        <v>27</v>
      </c>
      <c r="M155" s="3">
        <v>44659</v>
      </c>
      <c r="N155" s="6">
        <v>899.97</v>
      </c>
      <c r="O155" s="4">
        <f t="shared" ca="1" si="6"/>
        <v>46283</v>
      </c>
      <c r="P155" s="5">
        <f t="shared" ca="1" si="7"/>
        <v>46283.764101967594</v>
      </c>
      <c r="Q155" s="13">
        <f t="shared" ca="1" si="8"/>
        <v>4</v>
      </c>
    </row>
    <row r="156" spans="1:17" x14ac:dyDescent="0.25">
      <c r="A156" s="2" t="s">
        <v>297</v>
      </c>
      <c r="B156" s="3">
        <v>45627</v>
      </c>
      <c r="C156" s="2" t="s">
        <v>55</v>
      </c>
      <c r="D156" s="2" t="s">
        <v>56</v>
      </c>
      <c r="E156" s="2" t="s">
        <v>17</v>
      </c>
      <c r="F156" s="2" t="s">
        <v>18</v>
      </c>
      <c r="G156" s="2" t="s">
        <v>19</v>
      </c>
      <c r="H156" s="2">
        <v>5</v>
      </c>
      <c r="I156" s="7">
        <v>249.99</v>
      </c>
      <c r="J156" s="2" t="s">
        <v>20</v>
      </c>
      <c r="K156" s="2" t="s">
        <v>21</v>
      </c>
      <c r="L156" s="2" t="s">
        <v>27</v>
      </c>
      <c r="M156" s="3">
        <v>44485</v>
      </c>
      <c r="N156" s="6">
        <v>1249.95</v>
      </c>
      <c r="O156" s="4">
        <f t="shared" ca="1" si="6"/>
        <v>46283</v>
      </c>
      <c r="P156" s="5">
        <f t="shared" ca="1" si="7"/>
        <v>46283.764101967594</v>
      </c>
      <c r="Q156" s="13">
        <f t="shared" ca="1" si="8"/>
        <v>4</v>
      </c>
    </row>
    <row r="157" spans="1:17" x14ac:dyDescent="0.25">
      <c r="A157" s="2" t="s">
        <v>298</v>
      </c>
      <c r="B157" s="3">
        <v>45627</v>
      </c>
      <c r="C157" s="2" t="s">
        <v>24</v>
      </c>
      <c r="D157" s="2" t="s">
        <v>25</v>
      </c>
      <c r="E157" s="2" t="s">
        <v>52</v>
      </c>
      <c r="F157" s="2" t="s">
        <v>53</v>
      </c>
      <c r="G157" s="2" t="s">
        <v>19</v>
      </c>
      <c r="H157" s="2">
        <v>2</v>
      </c>
      <c r="I157" s="7">
        <v>149.99</v>
      </c>
      <c r="J157" s="2" t="s">
        <v>20</v>
      </c>
      <c r="K157" s="2" t="s">
        <v>35</v>
      </c>
      <c r="L157" s="2" t="s">
        <v>27</v>
      </c>
      <c r="M157" s="3">
        <v>44475</v>
      </c>
      <c r="N157" s="6">
        <v>299.98</v>
      </c>
      <c r="O157" s="4">
        <f t="shared" ca="1" si="6"/>
        <v>46283</v>
      </c>
      <c r="P157" s="5">
        <f t="shared" ca="1" si="7"/>
        <v>46283.764101967594</v>
      </c>
      <c r="Q157" s="13">
        <f t="shared" ca="1" si="8"/>
        <v>4</v>
      </c>
    </row>
    <row r="158" spans="1:17" x14ac:dyDescent="0.25">
      <c r="A158" s="2" t="s">
        <v>299</v>
      </c>
      <c r="B158" s="3">
        <v>45627</v>
      </c>
      <c r="C158" s="2" t="s">
        <v>86</v>
      </c>
      <c r="D158" s="2" t="s">
        <v>87</v>
      </c>
      <c r="E158" s="2" t="s">
        <v>80</v>
      </c>
      <c r="F158" s="2" t="s">
        <v>81</v>
      </c>
      <c r="G158" s="2" t="s">
        <v>19</v>
      </c>
      <c r="H158" s="2">
        <v>5</v>
      </c>
      <c r="I158" s="7">
        <v>699.99</v>
      </c>
      <c r="J158" s="2" t="s">
        <v>57</v>
      </c>
      <c r="K158" s="2" t="s">
        <v>50</v>
      </c>
      <c r="L158" s="2" t="s">
        <v>36</v>
      </c>
      <c r="M158" s="3">
        <v>44944</v>
      </c>
      <c r="N158" s="6">
        <v>3499.95</v>
      </c>
      <c r="O158" s="4">
        <f t="shared" ca="1" si="6"/>
        <v>46283</v>
      </c>
      <c r="P158" s="5">
        <f t="shared" ca="1" si="7"/>
        <v>46283.764101967594</v>
      </c>
      <c r="Q158" s="13">
        <f t="shared" ca="1" si="8"/>
        <v>3</v>
      </c>
    </row>
    <row r="159" spans="1:17" x14ac:dyDescent="0.25">
      <c r="A159" s="2" t="s">
        <v>300</v>
      </c>
      <c r="B159" s="3">
        <v>45629</v>
      </c>
      <c r="C159" s="2" t="s">
        <v>252</v>
      </c>
      <c r="D159" s="2" t="s">
        <v>253</v>
      </c>
      <c r="E159" s="2" t="s">
        <v>17</v>
      </c>
      <c r="F159" s="2" t="s">
        <v>18</v>
      </c>
      <c r="G159" s="2" t="s">
        <v>19</v>
      </c>
      <c r="H159" s="2">
        <v>4</v>
      </c>
      <c r="I159" s="7">
        <v>249.99</v>
      </c>
      <c r="J159" s="2" t="s">
        <v>34</v>
      </c>
      <c r="K159" s="2" t="s">
        <v>63</v>
      </c>
      <c r="L159" s="2" t="s">
        <v>27</v>
      </c>
      <c r="M159" s="3">
        <v>45098</v>
      </c>
      <c r="N159" s="6">
        <v>999.96</v>
      </c>
      <c r="O159" s="4">
        <f t="shared" ca="1" si="6"/>
        <v>46283</v>
      </c>
      <c r="P159" s="5">
        <f t="shared" ca="1" si="7"/>
        <v>46283.764101967594</v>
      </c>
      <c r="Q159" s="13">
        <f t="shared" ca="1" si="8"/>
        <v>3</v>
      </c>
    </row>
    <row r="160" spans="1:17" x14ac:dyDescent="0.25">
      <c r="A160" s="2" t="s">
        <v>301</v>
      </c>
      <c r="B160" s="3">
        <v>45630</v>
      </c>
      <c r="C160" s="2" t="s">
        <v>48</v>
      </c>
      <c r="D160" s="2" t="s">
        <v>49</v>
      </c>
      <c r="E160" s="2" t="s">
        <v>80</v>
      </c>
      <c r="F160" s="2" t="s">
        <v>81</v>
      </c>
      <c r="G160" s="2" t="s">
        <v>19</v>
      </c>
      <c r="H160" s="2">
        <v>4</v>
      </c>
      <c r="I160" s="7">
        <v>699.99</v>
      </c>
      <c r="J160" s="2" t="s">
        <v>26</v>
      </c>
      <c r="K160" s="2" t="s">
        <v>40</v>
      </c>
      <c r="L160" s="2" t="s">
        <v>27</v>
      </c>
      <c r="M160" s="3">
        <v>44703</v>
      </c>
      <c r="N160" s="6">
        <v>2799.96</v>
      </c>
      <c r="O160" s="4">
        <f t="shared" ca="1" si="6"/>
        <v>46283</v>
      </c>
      <c r="P160" s="5">
        <f t="shared" ca="1" si="7"/>
        <v>46283.764101967594</v>
      </c>
      <c r="Q160" s="13">
        <f t="shared" ca="1" si="8"/>
        <v>4</v>
      </c>
    </row>
    <row r="161" spans="1:17" x14ac:dyDescent="0.25">
      <c r="A161" s="2" t="s">
        <v>302</v>
      </c>
      <c r="B161" s="3">
        <v>45635</v>
      </c>
      <c r="C161" s="2" t="s">
        <v>108</v>
      </c>
      <c r="D161" s="2" t="s">
        <v>109</v>
      </c>
      <c r="E161" s="2" t="s">
        <v>17</v>
      </c>
      <c r="F161" s="2" t="s">
        <v>18</v>
      </c>
      <c r="G161" s="2" t="s">
        <v>19</v>
      </c>
      <c r="H161" s="2">
        <v>2</v>
      </c>
      <c r="I161" s="7">
        <v>249.99</v>
      </c>
      <c r="J161" s="2" t="s">
        <v>26</v>
      </c>
      <c r="K161" s="2" t="s">
        <v>21</v>
      </c>
      <c r="L161" s="2" t="s">
        <v>27</v>
      </c>
      <c r="M161" s="3">
        <v>44396</v>
      </c>
      <c r="N161" s="6">
        <v>499.98</v>
      </c>
      <c r="O161" s="4">
        <f t="shared" ca="1" si="6"/>
        <v>46283</v>
      </c>
      <c r="P161" s="5">
        <f t="shared" ca="1" si="7"/>
        <v>46283.764101967594</v>
      </c>
      <c r="Q161" s="13">
        <f t="shared" ca="1" si="8"/>
        <v>5</v>
      </c>
    </row>
    <row r="162" spans="1:17" x14ac:dyDescent="0.25">
      <c r="A162" s="2" t="s">
        <v>303</v>
      </c>
      <c r="B162" s="3">
        <v>45635</v>
      </c>
      <c r="C162" s="2" t="s">
        <v>304</v>
      </c>
      <c r="D162" s="2" t="s">
        <v>305</v>
      </c>
      <c r="E162" s="2" t="s">
        <v>31</v>
      </c>
      <c r="F162" s="2" t="s">
        <v>32</v>
      </c>
      <c r="G162" s="2" t="s">
        <v>33</v>
      </c>
      <c r="H162" s="2">
        <v>3</v>
      </c>
      <c r="I162" s="7">
        <v>59.99</v>
      </c>
      <c r="J162" s="2" t="s">
        <v>20</v>
      </c>
      <c r="K162" s="2" t="s">
        <v>21</v>
      </c>
      <c r="L162" s="2" t="s">
        <v>27</v>
      </c>
      <c r="M162" s="3">
        <v>45052</v>
      </c>
      <c r="N162" s="6">
        <v>179.97</v>
      </c>
      <c r="O162" s="4">
        <f t="shared" ca="1" si="6"/>
        <v>46283</v>
      </c>
      <c r="P162" s="5">
        <f t="shared" ca="1" si="7"/>
        <v>46283.764101967594</v>
      </c>
      <c r="Q162" s="13">
        <f t="shared" ca="1" si="8"/>
        <v>3</v>
      </c>
    </row>
    <row r="163" spans="1:17" x14ac:dyDescent="0.25">
      <c r="A163" s="2" t="s">
        <v>306</v>
      </c>
      <c r="B163" s="3">
        <v>45635</v>
      </c>
      <c r="C163" s="2" t="s">
        <v>141</v>
      </c>
      <c r="D163" s="2" t="s">
        <v>142</v>
      </c>
      <c r="E163" s="2" t="s">
        <v>114</v>
      </c>
      <c r="F163" s="2" t="s">
        <v>115</v>
      </c>
      <c r="G163" s="2" t="s">
        <v>33</v>
      </c>
      <c r="H163" s="2">
        <v>4</v>
      </c>
      <c r="I163" s="7">
        <v>79.989999999999995</v>
      </c>
      <c r="J163" s="2" t="s">
        <v>57</v>
      </c>
      <c r="K163" s="2" t="s">
        <v>63</v>
      </c>
      <c r="L163" s="2" t="s">
        <v>36</v>
      </c>
      <c r="M163" s="3">
        <v>44921</v>
      </c>
      <c r="N163" s="6">
        <v>319.95999999999998</v>
      </c>
      <c r="O163" s="4">
        <f t="shared" ca="1" si="6"/>
        <v>46283</v>
      </c>
      <c r="P163" s="5">
        <f t="shared" ca="1" si="7"/>
        <v>46283.764101967594</v>
      </c>
      <c r="Q163" s="13">
        <f t="shared" ca="1" si="8"/>
        <v>3</v>
      </c>
    </row>
    <row r="164" spans="1:17" x14ac:dyDescent="0.25">
      <c r="A164" s="2" t="s">
        <v>307</v>
      </c>
      <c r="B164" s="3">
        <v>45636</v>
      </c>
      <c r="C164" s="2" t="s">
        <v>120</v>
      </c>
      <c r="D164" s="2" t="s">
        <v>121</v>
      </c>
      <c r="E164" s="2" t="s">
        <v>114</v>
      </c>
      <c r="F164" s="2" t="s">
        <v>115</v>
      </c>
      <c r="G164" s="2" t="s">
        <v>33</v>
      </c>
      <c r="H164" s="2">
        <v>3</v>
      </c>
      <c r="I164" s="7">
        <v>79.989999999999995</v>
      </c>
      <c r="J164" s="2" t="s">
        <v>57</v>
      </c>
      <c r="K164" s="2" t="s">
        <v>63</v>
      </c>
      <c r="L164" s="2" t="s">
        <v>36</v>
      </c>
      <c r="M164" s="3">
        <v>44779</v>
      </c>
      <c r="N164" s="6">
        <v>239.97</v>
      </c>
      <c r="O164" s="4">
        <f t="shared" ca="1" si="6"/>
        <v>46283</v>
      </c>
      <c r="P164" s="5">
        <f t="shared" ca="1" si="7"/>
        <v>46283.764101967594</v>
      </c>
      <c r="Q164" s="13">
        <f t="shared" ca="1" si="8"/>
        <v>4</v>
      </c>
    </row>
    <row r="165" spans="1:17" x14ac:dyDescent="0.25">
      <c r="A165" s="2" t="s">
        <v>308</v>
      </c>
      <c r="B165" s="3">
        <v>45638</v>
      </c>
      <c r="C165" s="2" t="s">
        <v>72</v>
      </c>
      <c r="D165" s="2" t="s">
        <v>73</v>
      </c>
      <c r="E165" s="2" t="s">
        <v>61</v>
      </c>
      <c r="F165" s="2" t="s">
        <v>62</v>
      </c>
      <c r="G165" s="2" t="s">
        <v>19</v>
      </c>
      <c r="H165" s="2">
        <v>2</v>
      </c>
      <c r="I165" s="7">
        <v>899.99</v>
      </c>
      <c r="J165" s="2" t="s">
        <v>20</v>
      </c>
      <c r="K165" s="2" t="s">
        <v>40</v>
      </c>
      <c r="L165" s="2" t="s">
        <v>22</v>
      </c>
      <c r="M165" s="3">
        <v>44406</v>
      </c>
      <c r="N165" s="6">
        <v>1799.98</v>
      </c>
      <c r="O165" s="4">
        <f t="shared" ca="1" si="6"/>
        <v>46283</v>
      </c>
      <c r="P165" s="5">
        <f t="shared" ca="1" si="7"/>
        <v>46283.764101967594</v>
      </c>
      <c r="Q165" s="13">
        <f t="shared" ca="1" si="8"/>
        <v>5</v>
      </c>
    </row>
    <row r="166" spans="1:17" x14ac:dyDescent="0.25">
      <c r="A166" s="2" t="s">
        <v>309</v>
      </c>
      <c r="B166" s="3">
        <v>45641</v>
      </c>
      <c r="C166" s="2" t="s">
        <v>182</v>
      </c>
      <c r="D166" s="2" t="s">
        <v>183</v>
      </c>
      <c r="E166" s="2" t="s">
        <v>44</v>
      </c>
      <c r="F166" s="2" t="s">
        <v>45</v>
      </c>
      <c r="G166" s="2" t="s">
        <v>46</v>
      </c>
      <c r="H166" s="2">
        <v>1</v>
      </c>
      <c r="I166" s="7">
        <v>149.99</v>
      </c>
      <c r="J166" s="2" t="s">
        <v>57</v>
      </c>
      <c r="K166" s="2" t="s">
        <v>63</v>
      </c>
      <c r="L166" s="2" t="s">
        <v>36</v>
      </c>
      <c r="M166" s="3">
        <v>45200</v>
      </c>
      <c r="N166" s="6">
        <v>149.99</v>
      </c>
      <c r="O166" s="4">
        <f t="shared" ca="1" si="6"/>
        <v>46283</v>
      </c>
      <c r="P166" s="5">
        <f t="shared" ca="1" si="7"/>
        <v>46283.764101967594</v>
      </c>
      <c r="Q166" s="13">
        <f t="shared" ca="1" si="8"/>
        <v>2</v>
      </c>
    </row>
    <row r="167" spans="1:17" x14ac:dyDescent="0.25">
      <c r="A167" s="2" t="s">
        <v>310</v>
      </c>
      <c r="B167" s="3">
        <v>45641</v>
      </c>
      <c r="C167" s="2" t="s">
        <v>138</v>
      </c>
      <c r="D167" s="2" t="s">
        <v>139</v>
      </c>
      <c r="E167" s="2" t="s">
        <v>105</v>
      </c>
      <c r="F167" s="2" t="s">
        <v>106</v>
      </c>
      <c r="G167" s="2" t="s">
        <v>46</v>
      </c>
      <c r="H167" s="2">
        <v>2</v>
      </c>
      <c r="I167" s="7">
        <v>299.99</v>
      </c>
      <c r="J167" s="2" t="s">
        <v>20</v>
      </c>
      <c r="K167" s="2" t="s">
        <v>63</v>
      </c>
      <c r="L167" s="2" t="s">
        <v>27</v>
      </c>
      <c r="M167" s="3">
        <v>44724</v>
      </c>
      <c r="N167" s="6">
        <v>599.98</v>
      </c>
      <c r="O167" s="4">
        <f t="shared" ca="1" si="6"/>
        <v>46283</v>
      </c>
      <c r="P167" s="5">
        <f t="shared" ca="1" si="7"/>
        <v>46283.764101967594</v>
      </c>
      <c r="Q167" s="13">
        <f t="shared" ca="1" si="8"/>
        <v>4</v>
      </c>
    </row>
    <row r="168" spans="1:17" x14ac:dyDescent="0.25">
      <c r="A168" s="2" t="s">
        <v>311</v>
      </c>
      <c r="B168" s="3">
        <v>45644</v>
      </c>
      <c r="C168" s="2" t="s">
        <v>132</v>
      </c>
      <c r="D168" s="2" t="s">
        <v>133</v>
      </c>
      <c r="E168" s="2" t="s">
        <v>31</v>
      </c>
      <c r="F168" s="2" t="s">
        <v>32</v>
      </c>
      <c r="G168" s="2" t="s">
        <v>33</v>
      </c>
      <c r="H168" s="2">
        <v>2</v>
      </c>
      <c r="I168" s="7">
        <v>59.99</v>
      </c>
      <c r="J168" s="2" t="s">
        <v>20</v>
      </c>
      <c r="K168" s="2" t="s">
        <v>50</v>
      </c>
      <c r="L168" s="2" t="s">
        <v>22</v>
      </c>
      <c r="M168" s="3">
        <v>45191</v>
      </c>
      <c r="N168" s="6">
        <v>119.98</v>
      </c>
      <c r="O168" s="4">
        <f t="shared" ca="1" si="6"/>
        <v>46283</v>
      </c>
      <c r="P168" s="5">
        <f t="shared" ca="1" si="7"/>
        <v>46283.764101967594</v>
      </c>
      <c r="Q168" s="13">
        <f t="shared" ca="1" si="8"/>
        <v>2</v>
      </c>
    </row>
    <row r="169" spans="1:17" x14ac:dyDescent="0.25">
      <c r="A169" s="2" t="s">
        <v>312</v>
      </c>
      <c r="B169" s="3">
        <v>45645</v>
      </c>
      <c r="C169" s="2" t="s">
        <v>182</v>
      </c>
      <c r="D169" s="2" t="s">
        <v>183</v>
      </c>
      <c r="E169" s="2" t="s">
        <v>117</v>
      </c>
      <c r="F169" s="2" t="s">
        <v>118</v>
      </c>
      <c r="G169" s="2" t="s">
        <v>19</v>
      </c>
      <c r="H169" s="2">
        <v>1</v>
      </c>
      <c r="I169" s="7">
        <v>89.99</v>
      </c>
      <c r="J169" s="2" t="s">
        <v>57</v>
      </c>
      <c r="K169" s="2" t="s">
        <v>21</v>
      </c>
      <c r="L169" s="2" t="s">
        <v>36</v>
      </c>
      <c r="M169" s="3">
        <v>44760</v>
      </c>
      <c r="N169" s="6">
        <v>89.99</v>
      </c>
      <c r="O169" s="4">
        <f t="shared" ca="1" si="6"/>
        <v>46283</v>
      </c>
      <c r="P169" s="5">
        <f t="shared" ca="1" si="7"/>
        <v>46283.764101967594</v>
      </c>
      <c r="Q169" s="13">
        <f t="shared" ca="1" si="8"/>
        <v>4</v>
      </c>
    </row>
    <row r="170" spans="1:17" x14ac:dyDescent="0.25">
      <c r="A170" s="2" t="s">
        <v>313</v>
      </c>
      <c r="B170" s="3">
        <v>45645</v>
      </c>
      <c r="C170" s="2" t="s">
        <v>147</v>
      </c>
      <c r="D170" s="2" t="s">
        <v>148</v>
      </c>
      <c r="E170" s="2" t="s">
        <v>61</v>
      </c>
      <c r="F170" s="2" t="s">
        <v>62</v>
      </c>
      <c r="G170" s="2" t="s">
        <v>19</v>
      </c>
      <c r="H170" s="2">
        <v>5</v>
      </c>
      <c r="I170" s="7">
        <v>899.99</v>
      </c>
      <c r="J170" s="2" t="s">
        <v>57</v>
      </c>
      <c r="K170" s="2" t="s">
        <v>63</v>
      </c>
      <c r="L170" s="2" t="s">
        <v>36</v>
      </c>
      <c r="M170" s="3">
        <v>44625</v>
      </c>
      <c r="N170" s="6">
        <v>4499.95</v>
      </c>
      <c r="O170" s="4">
        <f t="shared" ca="1" si="6"/>
        <v>46283</v>
      </c>
      <c r="P170" s="5">
        <f t="shared" ca="1" si="7"/>
        <v>46283.764101967594</v>
      </c>
      <c r="Q170" s="13">
        <f t="shared" ca="1" si="8"/>
        <v>4</v>
      </c>
    </row>
    <row r="171" spans="1:17" x14ac:dyDescent="0.25">
      <c r="A171" s="2" t="s">
        <v>314</v>
      </c>
      <c r="B171" s="3">
        <v>45646</v>
      </c>
      <c r="C171" s="2" t="s">
        <v>42</v>
      </c>
      <c r="D171" s="2" t="s">
        <v>43</v>
      </c>
      <c r="E171" s="2" t="s">
        <v>44</v>
      </c>
      <c r="F171" s="2" t="s">
        <v>45</v>
      </c>
      <c r="G171" s="2" t="s">
        <v>46</v>
      </c>
      <c r="H171" s="2">
        <v>2</v>
      </c>
      <c r="I171" s="7">
        <v>149.99</v>
      </c>
      <c r="J171" s="2" t="s">
        <v>20</v>
      </c>
      <c r="K171" s="2" t="s">
        <v>35</v>
      </c>
      <c r="L171" s="2" t="s">
        <v>22</v>
      </c>
      <c r="M171" s="3">
        <v>45239</v>
      </c>
      <c r="N171" s="6">
        <v>299.98</v>
      </c>
      <c r="O171" s="4">
        <f t="shared" ca="1" si="6"/>
        <v>46283</v>
      </c>
      <c r="P171" s="5">
        <f t="shared" ca="1" si="7"/>
        <v>46283.764101967594</v>
      </c>
      <c r="Q171" s="13">
        <f t="shared" ca="1" si="8"/>
        <v>2</v>
      </c>
    </row>
    <row r="172" spans="1:17" x14ac:dyDescent="0.25">
      <c r="A172" s="2" t="s">
        <v>315</v>
      </c>
      <c r="B172" s="3">
        <v>45648</v>
      </c>
      <c r="C172" s="2" t="s">
        <v>112</v>
      </c>
      <c r="D172" s="2" t="s">
        <v>113</v>
      </c>
      <c r="E172" s="2" t="s">
        <v>52</v>
      </c>
      <c r="F172" s="2" t="s">
        <v>53</v>
      </c>
      <c r="G172" s="2" t="s">
        <v>19</v>
      </c>
      <c r="H172" s="2">
        <v>2</v>
      </c>
      <c r="I172" s="7">
        <v>149.99</v>
      </c>
      <c r="J172" s="2" t="s">
        <v>57</v>
      </c>
      <c r="K172" s="2" t="s">
        <v>50</v>
      </c>
      <c r="L172" s="2" t="s">
        <v>27</v>
      </c>
      <c r="M172" s="3">
        <v>45280</v>
      </c>
      <c r="N172" s="6">
        <v>299.98</v>
      </c>
      <c r="O172" s="4">
        <f t="shared" ca="1" si="6"/>
        <v>46283</v>
      </c>
      <c r="P172" s="5">
        <f t="shared" ca="1" si="7"/>
        <v>46283.764101967594</v>
      </c>
      <c r="Q172" s="13">
        <f t="shared" ca="1" si="8"/>
        <v>2</v>
      </c>
    </row>
    <row r="173" spans="1:17" x14ac:dyDescent="0.25">
      <c r="A173" s="2" t="s">
        <v>316</v>
      </c>
      <c r="B173" s="3">
        <v>45648</v>
      </c>
      <c r="C173" s="2" t="s">
        <v>182</v>
      </c>
      <c r="D173" s="2" t="s">
        <v>183</v>
      </c>
      <c r="E173" s="2" t="s">
        <v>44</v>
      </c>
      <c r="F173" s="2" t="s">
        <v>45</v>
      </c>
      <c r="G173" s="2" t="s">
        <v>46</v>
      </c>
      <c r="H173" s="2">
        <v>3</v>
      </c>
      <c r="I173" s="7">
        <v>149.99</v>
      </c>
      <c r="J173" s="2" t="s">
        <v>57</v>
      </c>
      <c r="K173" s="2" t="s">
        <v>40</v>
      </c>
      <c r="L173" s="2" t="s">
        <v>36</v>
      </c>
      <c r="M173" s="3">
        <v>44522</v>
      </c>
      <c r="N173" s="6">
        <v>449.97</v>
      </c>
      <c r="O173" s="4">
        <f t="shared" ca="1" si="6"/>
        <v>46283</v>
      </c>
      <c r="P173" s="5">
        <f t="shared" ca="1" si="7"/>
        <v>46283.764101967594</v>
      </c>
      <c r="Q173" s="13">
        <f t="shared" ca="1" si="8"/>
        <v>4</v>
      </c>
    </row>
    <row r="174" spans="1:17" x14ac:dyDescent="0.25">
      <c r="A174" s="2" t="s">
        <v>317</v>
      </c>
      <c r="B174" s="3">
        <v>45649</v>
      </c>
      <c r="C174" s="2" t="s">
        <v>29</v>
      </c>
      <c r="D174" s="2" t="s">
        <v>30</v>
      </c>
      <c r="E174" s="2" t="s">
        <v>105</v>
      </c>
      <c r="F174" s="2" t="s">
        <v>106</v>
      </c>
      <c r="G174" s="2" t="s">
        <v>46</v>
      </c>
      <c r="H174" s="2">
        <v>2</v>
      </c>
      <c r="I174" s="7">
        <v>299.99</v>
      </c>
      <c r="J174" s="2" t="s">
        <v>34</v>
      </c>
      <c r="K174" s="2" t="s">
        <v>35</v>
      </c>
      <c r="L174" s="2" t="s">
        <v>22</v>
      </c>
      <c r="M174" s="3">
        <v>44721</v>
      </c>
      <c r="N174" s="6">
        <v>599.98</v>
      </c>
      <c r="O174" s="4">
        <f t="shared" ca="1" si="6"/>
        <v>46283</v>
      </c>
      <c r="P174" s="5">
        <f t="shared" ca="1" si="7"/>
        <v>46283.764101967594</v>
      </c>
      <c r="Q174" s="13">
        <f t="shared" ca="1" si="8"/>
        <v>4</v>
      </c>
    </row>
    <row r="175" spans="1:17" x14ac:dyDescent="0.25">
      <c r="A175" s="2" t="s">
        <v>318</v>
      </c>
      <c r="B175" s="3">
        <v>45654</v>
      </c>
      <c r="C175" s="2" t="s">
        <v>42</v>
      </c>
      <c r="D175" s="2" t="s">
        <v>43</v>
      </c>
      <c r="E175" s="2" t="s">
        <v>105</v>
      </c>
      <c r="F175" s="2" t="s">
        <v>106</v>
      </c>
      <c r="G175" s="2" t="s">
        <v>46</v>
      </c>
      <c r="H175" s="2">
        <v>2</v>
      </c>
      <c r="I175" s="7">
        <v>299.99</v>
      </c>
      <c r="J175" s="2" t="s">
        <v>20</v>
      </c>
      <c r="K175" s="2" t="s">
        <v>50</v>
      </c>
      <c r="L175" s="2" t="s">
        <v>22</v>
      </c>
      <c r="M175" s="3">
        <v>44771</v>
      </c>
      <c r="N175" s="6">
        <v>599.98</v>
      </c>
      <c r="O175" s="4">
        <f t="shared" ca="1" si="6"/>
        <v>46283</v>
      </c>
      <c r="P175" s="5">
        <f t="shared" ca="1" si="7"/>
        <v>46283.764101967594</v>
      </c>
      <c r="Q175" s="13">
        <f t="shared" ca="1" si="8"/>
        <v>4</v>
      </c>
    </row>
    <row r="176" spans="1:17" x14ac:dyDescent="0.25">
      <c r="A176" s="2" t="s">
        <v>319</v>
      </c>
      <c r="B176" s="3">
        <v>45654</v>
      </c>
      <c r="C176" s="2" t="s">
        <v>120</v>
      </c>
      <c r="D176" s="2" t="s">
        <v>121</v>
      </c>
      <c r="E176" s="2" t="s">
        <v>126</v>
      </c>
      <c r="F176" s="2" t="s">
        <v>127</v>
      </c>
      <c r="G176" s="2" t="s">
        <v>46</v>
      </c>
      <c r="H176" s="2">
        <v>4</v>
      </c>
      <c r="I176" s="7">
        <v>199.99</v>
      </c>
      <c r="J176" s="2" t="s">
        <v>26</v>
      </c>
      <c r="K176" s="2" t="s">
        <v>21</v>
      </c>
      <c r="L176" s="2" t="s">
        <v>22</v>
      </c>
      <c r="M176" s="3">
        <v>44523</v>
      </c>
      <c r="N176" s="6">
        <v>799.96</v>
      </c>
      <c r="O176" s="4">
        <f t="shared" ca="1" si="6"/>
        <v>46283</v>
      </c>
      <c r="P176" s="5">
        <f t="shared" ca="1" si="7"/>
        <v>46283.764101967594</v>
      </c>
      <c r="Q176" s="13">
        <f t="shared" ca="1" si="8"/>
        <v>4</v>
      </c>
    </row>
    <row r="177" spans="1:17" x14ac:dyDescent="0.25">
      <c r="A177" s="2" t="s">
        <v>320</v>
      </c>
      <c r="B177" s="3">
        <v>45655</v>
      </c>
      <c r="C177" s="2" t="s">
        <v>59</v>
      </c>
      <c r="D177" s="2" t="s">
        <v>60</v>
      </c>
      <c r="E177" s="2" t="s">
        <v>117</v>
      </c>
      <c r="F177" s="2" t="s">
        <v>118</v>
      </c>
      <c r="G177" s="2" t="s">
        <v>19</v>
      </c>
      <c r="H177" s="2">
        <v>1</v>
      </c>
      <c r="I177" s="7">
        <v>89.99</v>
      </c>
      <c r="J177" s="2" t="s">
        <v>26</v>
      </c>
      <c r="K177" s="2" t="s">
        <v>35</v>
      </c>
      <c r="L177" s="2" t="s">
        <v>27</v>
      </c>
      <c r="M177" s="3">
        <v>44591</v>
      </c>
      <c r="N177" s="6">
        <v>89.99</v>
      </c>
      <c r="O177" s="4">
        <f t="shared" ca="1" si="6"/>
        <v>46283</v>
      </c>
      <c r="P177" s="5">
        <f t="shared" ca="1" si="7"/>
        <v>46283.764101967594</v>
      </c>
      <c r="Q177" s="13">
        <f t="shared" ca="1" si="8"/>
        <v>4</v>
      </c>
    </row>
    <row r="178" spans="1:17" x14ac:dyDescent="0.25">
      <c r="A178" s="2" t="s">
        <v>321</v>
      </c>
      <c r="B178" s="3">
        <v>45655</v>
      </c>
      <c r="C178" s="2" t="s">
        <v>108</v>
      </c>
      <c r="D178" s="2" t="s">
        <v>109</v>
      </c>
      <c r="E178" s="2" t="s">
        <v>44</v>
      </c>
      <c r="F178" s="2" t="s">
        <v>45</v>
      </c>
      <c r="G178" s="2" t="s">
        <v>46</v>
      </c>
      <c r="H178" s="2">
        <v>5</v>
      </c>
      <c r="I178" s="7">
        <v>149.99</v>
      </c>
      <c r="J178" s="2" t="s">
        <v>20</v>
      </c>
      <c r="K178" s="2" t="s">
        <v>21</v>
      </c>
      <c r="L178" s="2" t="s">
        <v>27</v>
      </c>
      <c r="M178" s="3">
        <v>45347</v>
      </c>
      <c r="N178" s="6">
        <v>749.95</v>
      </c>
      <c r="O178" s="4">
        <f t="shared" ca="1" si="6"/>
        <v>46283</v>
      </c>
      <c r="P178" s="5">
        <f t="shared" ca="1" si="7"/>
        <v>46283.764101967594</v>
      </c>
      <c r="Q178" s="13">
        <f t="shared" ca="1" si="8"/>
        <v>2</v>
      </c>
    </row>
    <row r="179" spans="1:17" x14ac:dyDescent="0.25">
      <c r="A179" s="2" t="s">
        <v>322</v>
      </c>
      <c r="B179" s="3">
        <v>45657</v>
      </c>
      <c r="C179" s="2" t="s">
        <v>86</v>
      </c>
      <c r="D179" s="2" t="s">
        <v>87</v>
      </c>
      <c r="E179" s="2" t="s">
        <v>61</v>
      </c>
      <c r="F179" s="2" t="s">
        <v>62</v>
      </c>
      <c r="G179" s="2" t="s">
        <v>19</v>
      </c>
      <c r="H179" s="2">
        <v>1</v>
      </c>
      <c r="I179" s="7">
        <v>899.99</v>
      </c>
      <c r="J179" s="2" t="s">
        <v>34</v>
      </c>
      <c r="K179" s="2" t="s">
        <v>40</v>
      </c>
      <c r="L179" s="2" t="s">
        <v>27</v>
      </c>
      <c r="M179" s="3">
        <v>45050</v>
      </c>
      <c r="N179" s="6">
        <v>899.99</v>
      </c>
      <c r="O179" s="4">
        <f t="shared" ca="1" si="6"/>
        <v>46283</v>
      </c>
      <c r="P179" s="5">
        <f t="shared" ca="1" si="7"/>
        <v>46283.764101967594</v>
      </c>
      <c r="Q179" s="13">
        <f t="shared" ca="1" si="8"/>
        <v>3</v>
      </c>
    </row>
    <row r="180" spans="1:17" x14ac:dyDescent="0.25">
      <c r="A180" s="2" t="s">
        <v>323</v>
      </c>
      <c r="B180" s="3">
        <v>45660</v>
      </c>
      <c r="C180" s="2" t="s">
        <v>147</v>
      </c>
      <c r="D180" s="2" t="s">
        <v>148</v>
      </c>
      <c r="E180" s="2" t="s">
        <v>117</v>
      </c>
      <c r="F180" s="2" t="s">
        <v>118</v>
      </c>
      <c r="G180" s="2" t="s">
        <v>19</v>
      </c>
      <c r="H180" s="2">
        <v>2</v>
      </c>
      <c r="I180" s="7">
        <v>89.99</v>
      </c>
      <c r="J180" s="2" t="s">
        <v>26</v>
      </c>
      <c r="K180" s="2" t="s">
        <v>35</v>
      </c>
      <c r="L180" s="2" t="s">
        <v>27</v>
      </c>
      <c r="M180" s="3">
        <v>44564</v>
      </c>
      <c r="N180" s="6">
        <v>179.98</v>
      </c>
      <c r="O180" s="4">
        <f t="shared" ca="1" si="6"/>
        <v>46283</v>
      </c>
      <c r="P180" s="5">
        <f t="shared" ca="1" si="7"/>
        <v>46283.764101967594</v>
      </c>
      <c r="Q180" s="13">
        <f t="shared" ca="1" si="8"/>
        <v>4</v>
      </c>
    </row>
    <row r="181" spans="1:17" x14ac:dyDescent="0.25">
      <c r="A181" s="2" t="s">
        <v>324</v>
      </c>
      <c r="B181" s="3">
        <v>45661</v>
      </c>
      <c r="C181" s="2" t="s">
        <v>325</v>
      </c>
      <c r="D181" s="2" t="s">
        <v>326</v>
      </c>
      <c r="E181" s="2" t="s">
        <v>61</v>
      </c>
      <c r="F181" s="2" t="s">
        <v>62</v>
      </c>
      <c r="G181" s="2" t="s">
        <v>19</v>
      </c>
      <c r="H181" s="2">
        <v>1</v>
      </c>
      <c r="I181" s="7">
        <v>899.99</v>
      </c>
      <c r="J181" s="2" t="s">
        <v>34</v>
      </c>
      <c r="K181" s="2" t="s">
        <v>40</v>
      </c>
      <c r="L181" s="2" t="s">
        <v>36</v>
      </c>
      <c r="M181" s="3">
        <v>44752</v>
      </c>
      <c r="N181" s="6">
        <v>899.99</v>
      </c>
      <c r="O181" s="4">
        <f t="shared" ca="1" si="6"/>
        <v>46283</v>
      </c>
      <c r="P181" s="5">
        <f t="shared" ca="1" si="7"/>
        <v>46283.764101967594</v>
      </c>
      <c r="Q181" s="13">
        <f t="shared" ca="1" si="8"/>
        <v>4</v>
      </c>
    </row>
    <row r="182" spans="1:17" x14ac:dyDescent="0.25">
      <c r="A182" s="2" t="s">
        <v>327</v>
      </c>
      <c r="B182" s="3">
        <v>45663</v>
      </c>
      <c r="C182" s="2" t="s">
        <v>129</v>
      </c>
      <c r="D182" s="2" t="s">
        <v>130</v>
      </c>
      <c r="E182" s="2" t="s">
        <v>52</v>
      </c>
      <c r="F182" s="2" t="s">
        <v>53</v>
      </c>
      <c r="G182" s="2" t="s">
        <v>19</v>
      </c>
      <c r="H182" s="2">
        <v>5</v>
      </c>
      <c r="I182" s="7">
        <v>149.99</v>
      </c>
      <c r="J182" s="2" t="s">
        <v>34</v>
      </c>
      <c r="K182" s="2" t="s">
        <v>63</v>
      </c>
      <c r="L182" s="2" t="s">
        <v>27</v>
      </c>
      <c r="M182" s="3">
        <v>44824</v>
      </c>
      <c r="N182" s="6">
        <v>749.95</v>
      </c>
      <c r="O182" s="4">
        <f t="shared" ca="1" si="6"/>
        <v>46283</v>
      </c>
      <c r="P182" s="5">
        <f t="shared" ca="1" si="7"/>
        <v>46283.764101967594</v>
      </c>
      <c r="Q182" s="13">
        <f t="shared" ca="1" si="8"/>
        <v>3</v>
      </c>
    </row>
    <row r="183" spans="1:17" x14ac:dyDescent="0.25">
      <c r="A183" s="2" t="s">
        <v>328</v>
      </c>
      <c r="B183" s="3">
        <v>45663</v>
      </c>
      <c r="C183" s="2" t="s">
        <v>42</v>
      </c>
      <c r="D183" s="2" t="s">
        <v>43</v>
      </c>
      <c r="E183" s="2" t="s">
        <v>105</v>
      </c>
      <c r="F183" s="2" t="s">
        <v>106</v>
      </c>
      <c r="G183" s="2" t="s">
        <v>46</v>
      </c>
      <c r="H183" s="2">
        <v>3</v>
      </c>
      <c r="I183" s="7">
        <v>299.99</v>
      </c>
      <c r="J183" s="2" t="s">
        <v>20</v>
      </c>
      <c r="K183" s="2" t="s">
        <v>35</v>
      </c>
      <c r="L183" s="2" t="s">
        <v>36</v>
      </c>
      <c r="M183" s="3">
        <v>44422</v>
      </c>
      <c r="N183" s="6">
        <v>899.97</v>
      </c>
      <c r="O183" s="4">
        <f t="shared" ca="1" si="6"/>
        <v>46283</v>
      </c>
      <c r="P183" s="5">
        <f t="shared" ca="1" si="7"/>
        <v>46283.764101967594</v>
      </c>
      <c r="Q183" s="13">
        <f t="shared" ca="1" si="8"/>
        <v>5</v>
      </c>
    </row>
    <row r="184" spans="1:17" x14ac:dyDescent="0.25">
      <c r="A184" s="2" t="s">
        <v>329</v>
      </c>
      <c r="B184" s="3">
        <v>45666</v>
      </c>
      <c r="C184" s="2" t="s">
        <v>65</v>
      </c>
      <c r="D184" s="2" t="s">
        <v>66</v>
      </c>
      <c r="E184" s="2" t="s">
        <v>80</v>
      </c>
      <c r="F184" s="2" t="s">
        <v>81</v>
      </c>
      <c r="G184" s="2" t="s">
        <v>19</v>
      </c>
      <c r="H184" s="2">
        <v>3</v>
      </c>
      <c r="I184" s="7">
        <v>699.99</v>
      </c>
      <c r="J184" s="2" t="s">
        <v>26</v>
      </c>
      <c r="K184" s="2" t="s">
        <v>21</v>
      </c>
      <c r="L184" s="2" t="s">
        <v>27</v>
      </c>
      <c r="M184" s="3">
        <v>45105</v>
      </c>
      <c r="N184" s="6">
        <v>2099.9699999999998</v>
      </c>
      <c r="O184" s="4">
        <f t="shared" ca="1" si="6"/>
        <v>46283</v>
      </c>
      <c r="P184" s="5">
        <f t="shared" ca="1" si="7"/>
        <v>46283.764101967594</v>
      </c>
      <c r="Q184" s="13">
        <f t="shared" ca="1" si="8"/>
        <v>3</v>
      </c>
    </row>
    <row r="185" spans="1:17" x14ac:dyDescent="0.25">
      <c r="A185" s="2" t="s">
        <v>330</v>
      </c>
      <c r="B185" s="3">
        <v>45667</v>
      </c>
      <c r="C185" s="2" t="s">
        <v>108</v>
      </c>
      <c r="D185" s="2" t="s">
        <v>109</v>
      </c>
      <c r="E185" s="2" t="s">
        <v>126</v>
      </c>
      <c r="F185" s="2" t="s">
        <v>127</v>
      </c>
      <c r="G185" s="2" t="s">
        <v>46</v>
      </c>
      <c r="H185" s="2">
        <v>5</v>
      </c>
      <c r="I185" s="7">
        <v>199.99</v>
      </c>
      <c r="J185" s="2" t="s">
        <v>34</v>
      </c>
      <c r="K185" s="2" t="s">
        <v>21</v>
      </c>
      <c r="L185" s="2" t="s">
        <v>36</v>
      </c>
      <c r="M185" s="3">
        <v>44633</v>
      </c>
      <c r="N185" s="6">
        <v>999.95</v>
      </c>
      <c r="O185" s="4">
        <f t="shared" ca="1" si="6"/>
        <v>46283</v>
      </c>
      <c r="P185" s="5">
        <f t="shared" ca="1" si="7"/>
        <v>46283.764101967594</v>
      </c>
      <c r="Q185" s="13">
        <f t="shared" ca="1" si="8"/>
        <v>4</v>
      </c>
    </row>
    <row r="186" spans="1:17" x14ac:dyDescent="0.25">
      <c r="A186" s="2" t="s">
        <v>331</v>
      </c>
      <c r="B186" s="3">
        <v>45667</v>
      </c>
      <c r="C186" s="2" t="s">
        <v>93</v>
      </c>
      <c r="D186" s="2" t="s">
        <v>94</v>
      </c>
      <c r="E186" s="2" t="s">
        <v>17</v>
      </c>
      <c r="F186" s="2" t="s">
        <v>18</v>
      </c>
      <c r="G186" s="2" t="s">
        <v>19</v>
      </c>
      <c r="H186" s="2">
        <v>5</v>
      </c>
      <c r="I186" s="7">
        <v>249.99</v>
      </c>
      <c r="J186" s="2" t="s">
        <v>26</v>
      </c>
      <c r="K186" s="2" t="s">
        <v>35</v>
      </c>
      <c r="L186" s="2" t="s">
        <v>22</v>
      </c>
      <c r="M186" s="3">
        <v>45330</v>
      </c>
      <c r="N186" s="6">
        <v>1249.95</v>
      </c>
      <c r="O186" s="4">
        <f t="shared" ca="1" si="6"/>
        <v>46283</v>
      </c>
      <c r="P186" s="5">
        <f t="shared" ca="1" si="7"/>
        <v>46283.764101967594</v>
      </c>
      <c r="Q186" s="13">
        <f t="shared" ca="1" si="8"/>
        <v>2</v>
      </c>
    </row>
    <row r="187" spans="1:17" x14ac:dyDescent="0.25">
      <c r="A187" s="2" t="s">
        <v>332</v>
      </c>
      <c r="B187" s="3">
        <v>45668</v>
      </c>
      <c r="C187" s="2" t="s">
        <v>138</v>
      </c>
      <c r="D187" s="2" t="s">
        <v>139</v>
      </c>
      <c r="E187" s="2" t="s">
        <v>52</v>
      </c>
      <c r="F187" s="2" t="s">
        <v>53</v>
      </c>
      <c r="G187" s="2" t="s">
        <v>19</v>
      </c>
      <c r="H187" s="2">
        <v>4</v>
      </c>
      <c r="I187" s="7">
        <v>149.99</v>
      </c>
      <c r="J187" s="2" t="s">
        <v>57</v>
      </c>
      <c r="K187" s="2" t="s">
        <v>63</v>
      </c>
      <c r="L187" s="2" t="s">
        <v>36</v>
      </c>
      <c r="M187" s="3">
        <v>44536</v>
      </c>
      <c r="N187" s="6">
        <v>599.96</v>
      </c>
      <c r="O187" s="4">
        <f t="shared" ca="1" si="6"/>
        <v>46283</v>
      </c>
      <c r="P187" s="5">
        <f t="shared" ca="1" si="7"/>
        <v>46283.764101967594</v>
      </c>
      <c r="Q187" s="13">
        <f t="shared" ca="1" si="8"/>
        <v>4</v>
      </c>
    </row>
    <row r="188" spans="1:17" x14ac:dyDescent="0.25">
      <c r="A188" s="2" t="s">
        <v>333</v>
      </c>
      <c r="B188" s="3">
        <v>45668</v>
      </c>
      <c r="C188" s="2" t="s">
        <v>78</v>
      </c>
      <c r="D188" s="2" t="s">
        <v>79</v>
      </c>
      <c r="E188" s="2" t="s">
        <v>80</v>
      </c>
      <c r="F188" s="2" t="s">
        <v>81</v>
      </c>
      <c r="G188" s="2" t="s">
        <v>19</v>
      </c>
      <c r="H188" s="2">
        <v>3</v>
      </c>
      <c r="I188" s="7">
        <v>699.99</v>
      </c>
      <c r="J188" s="2" t="s">
        <v>20</v>
      </c>
      <c r="K188" s="2" t="s">
        <v>40</v>
      </c>
      <c r="L188" s="2" t="s">
        <v>27</v>
      </c>
      <c r="M188" s="3">
        <v>44602</v>
      </c>
      <c r="N188" s="6">
        <v>2099.9699999999998</v>
      </c>
      <c r="O188" s="4">
        <f t="shared" ca="1" si="6"/>
        <v>46283</v>
      </c>
      <c r="P188" s="5">
        <f t="shared" ca="1" si="7"/>
        <v>46283.764101967594</v>
      </c>
      <c r="Q188" s="13">
        <f t="shared" ca="1" si="8"/>
        <v>4</v>
      </c>
    </row>
    <row r="189" spans="1:17" x14ac:dyDescent="0.25">
      <c r="A189" s="2" t="s">
        <v>334</v>
      </c>
      <c r="B189" s="3">
        <v>45670</v>
      </c>
      <c r="C189" s="2" t="s">
        <v>293</v>
      </c>
      <c r="D189" s="2" t="s">
        <v>294</v>
      </c>
      <c r="E189" s="2" t="s">
        <v>114</v>
      </c>
      <c r="F189" s="2" t="s">
        <v>115</v>
      </c>
      <c r="G189" s="2" t="s">
        <v>33</v>
      </c>
      <c r="H189" s="2">
        <v>1</v>
      </c>
      <c r="I189" s="7">
        <v>79.989999999999995</v>
      </c>
      <c r="J189" s="2" t="s">
        <v>26</v>
      </c>
      <c r="K189" s="2" t="s">
        <v>35</v>
      </c>
      <c r="L189" s="2" t="s">
        <v>22</v>
      </c>
      <c r="M189" s="3">
        <v>45322</v>
      </c>
      <c r="N189" s="6">
        <v>79.989999999999995</v>
      </c>
      <c r="O189" s="4">
        <f t="shared" ca="1" si="6"/>
        <v>46283</v>
      </c>
      <c r="P189" s="5">
        <f t="shared" ca="1" si="7"/>
        <v>46283.764101967594</v>
      </c>
      <c r="Q189" s="13">
        <f t="shared" ca="1" si="8"/>
        <v>2</v>
      </c>
    </row>
    <row r="190" spans="1:17" x14ac:dyDescent="0.25">
      <c r="A190" s="2" t="s">
        <v>335</v>
      </c>
      <c r="B190" s="3">
        <v>45670</v>
      </c>
      <c r="C190" s="2" t="s">
        <v>86</v>
      </c>
      <c r="D190" s="2" t="s">
        <v>87</v>
      </c>
      <c r="E190" s="2" t="s">
        <v>105</v>
      </c>
      <c r="F190" s="2" t="s">
        <v>106</v>
      </c>
      <c r="G190" s="2" t="s">
        <v>46</v>
      </c>
      <c r="H190" s="2">
        <v>1</v>
      </c>
      <c r="I190" s="7">
        <v>299.99</v>
      </c>
      <c r="J190" s="2" t="s">
        <v>26</v>
      </c>
      <c r="K190" s="2" t="s">
        <v>40</v>
      </c>
      <c r="L190" s="2" t="s">
        <v>22</v>
      </c>
      <c r="M190" s="3">
        <v>44436</v>
      </c>
      <c r="N190" s="6">
        <v>299.99</v>
      </c>
      <c r="O190" s="4">
        <f t="shared" ca="1" si="6"/>
        <v>46283</v>
      </c>
      <c r="P190" s="5">
        <f t="shared" ca="1" si="7"/>
        <v>46283.764101967594</v>
      </c>
      <c r="Q190" s="13">
        <f t="shared" ca="1" si="8"/>
        <v>5</v>
      </c>
    </row>
    <row r="191" spans="1:17" x14ac:dyDescent="0.25">
      <c r="A191" s="2" t="s">
        <v>336</v>
      </c>
      <c r="B191" s="3">
        <v>45671</v>
      </c>
      <c r="C191" s="2" t="s">
        <v>158</v>
      </c>
      <c r="D191" s="2" t="s">
        <v>159</v>
      </c>
      <c r="E191" s="2" t="s">
        <v>17</v>
      </c>
      <c r="F191" s="2" t="s">
        <v>18</v>
      </c>
      <c r="G191" s="2" t="s">
        <v>19</v>
      </c>
      <c r="H191" s="2">
        <v>4</v>
      </c>
      <c r="I191" s="7">
        <v>249.99</v>
      </c>
      <c r="J191" s="2" t="s">
        <v>26</v>
      </c>
      <c r="K191" s="2" t="s">
        <v>40</v>
      </c>
      <c r="L191" s="2" t="s">
        <v>27</v>
      </c>
      <c r="M191" s="3">
        <v>44460</v>
      </c>
      <c r="N191" s="6">
        <v>999.96</v>
      </c>
      <c r="O191" s="4">
        <f t="shared" ca="1" si="6"/>
        <v>46283</v>
      </c>
      <c r="P191" s="5">
        <f t="shared" ca="1" si="7"/>
        <v>46283.764101967594</v>
      </c>
      <c r="Q191" s="13">
        <f t="shared" ca="1" si="8"/>
        <v>4</v>
      </c>
    </row>
    <row r="192" spans="1:17" x14ac:dyDescent="0.25">
      <c r="A192" s="2" t="s">
        <v>337</v>
      </c>
      <c r="B192" s="3">
        <v>45671</v>
      </c>
      <c r="C192" s="2" t="s">
        <v>120</v>
      </c>
      <c r="D192" s="2" t="s">
        <v>121</v>
      </c>
      <c r="E192" s="2" t="s">
        <v>52</v>
      </c>
      <c r="F192" s="2" t="s">
        <v>53</v>
      </c>
      <c r="G192" s="2" t="s">
        <v>19</v>
      </c>
      <c r="H192" s="2">
        <v>2</v>
      </c>
      <c r="I192" s="7">
        <v>149.99</v>
      </c>
      <c r="J192" s="2" t="s">
        <v>20</v>
      </c>
      <c r="K192" s="2" t="s">
        <v>40</v>
      </c>
      <c r="L192" s="2" t="s">
        <v>36</v>
      </c>
      <c r="M192" s="3">
        <v>44913</v>
      </c>
      <c r="N192" s="6">
        <v>299.98</v>
      </c>
      <c r="O192" s="4">
        <f t="shared" ca="1" si="6"/>
        <v>46283</v>
      </c>
      <c r="P192" s="5">
        <f t="shared" ca="1" si="7"/>
        <v>46283.764101967594</v>
      </c>
      <c r="Q192" s="13">
        <f t="shared" ca="1" si="8"/>
        <v>3</v>
      </c>
    </row>
    <row r="193" spans="1:17" x14ac:dyDescent="0.25">
      <c r="A193" s="2" t="s">
        <v>338</v>
      </c>
      <c r="B193" s="3">
        <v>45671</v>
      </c>
      <c r="C193" s="2" t="s">
        <v>234</v>
      </c>
      <c r="D193" s="2" t="s">
        <v>235</v>
      </c>
      <c r="E193" s="2" t="s">
        <v>105</v>
      </c>
      <c r="F193" s="2" t="s">
        <v>106</v>
      </c>
      <c r="G193" s="2" t="s">
        <v>46</v>
      </c>
      <c r="H193" s="2">
        <v>3</v>
      </c>
      <c r="I193" s="7">
        <v>299.99</v>
      </c>
      <c r="J193" s="2" t="s">
        <v>26</v>
      </c>
      <c r="K193" s="2" t="s">
        <v>35</v>
      </c>
      <c r="L193" s="2" t="s">
        <v>22</v>
      </c>
      <c r="M193" s="3">
        <v>45204</v>
      </c>
      <c r="N193" s="6">
        <v>899.97</v>
      </c>
      <c r="O193" s="4">
        <f t="shared" ca="1" si="6"/>
        <v>46283</v>
      </c>
      <c r="P193" s="5">
        <f t="shared" ca="1" si="7"/>
        <v>46283.764101967594</v>
      </c>
      <c r="Q193" s="13">
        <f t="shared" ca="1" si="8"/>
        <v>2</v>
      </c>
    </row>
    <row r="194" spans="1:17" x14ac:dyDescent="0.25">
      <c r="A194" s="2" t="s">
        <v>339</v>
      </c>
      <c r="B194" s="3">
        <v>45673</v>
      </c>
      <c r="C194" s="2" t="s">
        <v>226</v>
      </c>
      <c r="D194" s="2" t="s">
        <v>227</v>
      </c>
      <c r="E194" s="2" t="s">
        <v>126</v>
      </c>
      <c r="F194" s="2" t="s">
        <v>127</v>
      </c>
      <c r="G194" s="2" t="s">
        <v>46</v>
      </c>
      <c r="H194" s="2">
        <v>4</v>
      </c>
      <c r="I194" s="7">
        <v>199.99</v>
      </c>
      <c r="J194" s="2" t="s">
        <v>57</v>
      </c>
      <c r="K194" s="2" t="s">
        <v>35</v>
      </c>
      <c r="L194" s="2" t="s">
        <v>36</v>
      </c>
      <c r="M194" s="3">
        <v>44544</v>
      </c>
      <c r="N194" s="6">
        <v>799.96</v>
      </c>
      <c r="O194" s="4">
        <f t="shared" ca="1" si="6"/>
        <v>46283</v>
      </c>
      <c r="P194" s="5">
        <f t="shared" ca="1" si="7"/>
        <v>46283.764101967594</v>
      </c>
      <c r="Q194" s="13">
        <f t="shared" ca="1" si="8"/>
        <v>4</v>
      </c>
    </row>
    <row r="195" spans="1:17" x14ac:dyDescent="0.25">
      <c r="A195" s="2" t="s">
        <v>340</v>
      </c>
      <c r="B195" s="3">
        <v>45673</v>
      </c>
      <c r="C195" s="2" t="s">
        <v>211</v>
      </c>
      <c r="D195" s="2" t="s">
        <v>212</v>
      </c>
      <c r="E195" s="2" t="s">
        <v>105</v>
      </c>
      <c r="F195" s="2" t="s">
        <v>106</v>
      </c>
      <c r="G195" s="2" t="s">
        <v>46</v>
      </c>
      <c r="H195" s="2">
        <v>5</v>
      </c>
      <c r="I195" s="7">
        <v>299.99</v>
      </c>
      <c r="J195" s="2" t="s">
        <v>57</v>
      </c>
      <c r="K195" s="2" t="s">
        <v>21</v>
      </c>
      <c r="L195" s="2" t="s">
        <v>22</v>
      </c>
      <c r="M195" s="3">
        <v>44431</v>
      </c>
      <c r="N195" s="6">
        <v>1499.95</v>
      </c>
      <c r="O195" s="4">
        <f t="shared" ref="O195:O251" ca="1" si="9">TODAY()</f>
        <v>46283</v>
      </c>
      <c r="P195" s="5">
        <f t="shared" ref="P195:P251" ca="1" si="10">NOW()</f>
        <v>46283.764101967594</v>
      </c>
      <c r="Q195" s="13">
        <f t="shared" ref="Q195:Q251" ca="1" si="11">DATEDIF(M195, $O$2, "Y")</f>
        <v>5</v>
      </c>
    </row>
    <row r="196" spans="1:17" x14ac:dyDescent="0.25">
      <c r="A196" s="2" t="s">
        <v>341</v>
      </c>
      <c r="B196" s="3">
        <v>45673</v>
      </c>
      <c r="C196" s="2" t="s">
        <v>59</v>
      </c>
      <c r="D196" s="2" t="s">
        <v>60</v>
      </c>
      <c r="E196" s="2" t="s">
        <v>44</v>
      </c>
      <c r="F196" s="2" t="s">
        <v>45</v>
      </c>
      <c r="G196" s="2" t="s">
        <v>46</v>
      </c>
      <c r="H196" s="2">
        <v>3</v>
      </c>
      <c r="I196" s="7">
        <v>149.99</v>
      </c>
      <c r="J196" s="2" t="s">
        <v>26</v>
      </c>
      <c r="K196" s="2" t="s">
        <v>63</v>
      </c>
      <c r="L196" s="2" t="s">
        <v>36</v>
      </c>
      <c r="M196" s="3">
        <v>44395</v>
      </c>
      <c r="N196" s="6">
        <v>449.97</v>
      </c>
      <c r="O196" s="4">
        <f t="shared" ca="1" si="9"/>
        <v>46283</v>
      </c>
      <c r="P196" s="5">
        <f t="shared" ca="1" si="10"/>
        <v>46283.764101967594</v>
      </c>
      <c r="Q196" s="13">
        <f t="shared" ca="1" si="11"/>
        <v>5</v>
      </c>
    </row>
    <row r="197" spans="1:17" x14ac:dyDescent="0.25">
      <c r="A197" s="2" t="s">
        <v>342</v>
      </c>
      <c r="B197" s="3">
        <v>45676</v>
      </c>
      <c r="C197" s="2" t="s">
        <v>129</v>
      </c>
      <c r="D197" s="2" t="s">
        <v>130</v>
      </c>
      <c r="E197" s="2" t="s">
        <v>31</v>
      </c>
      <c r="F197" s="2" t="s">
        <v>32</v>
      </c>
      <c r="G197" s="2" t="s">
        <v>33</v>
      </c>
      <c r="H197" s="2">
        <v>5</v>
      </c>
      <c r="I197" s="7">
        <v>59.99</v>
      </c>
      <c r="J197" s="2" t="s">
        <v>57</v>
      </c>
      <c r="K197" s="2" t="s">
        <v>63</v>
      </c>
      <c r="L197" s="2" t="s">
        <v>22</v>
      </c>
      <c r="M197" s="3">
        <v>44642</v>
      </c>
      <c r="N197" s="6">
        <v>299.95</v>
      </c>
      <c r="O197" s="4">
        <f t="shared" ca="1" si="9"/>
        <v>46283</v>
      </c>
      <c r="P197" s="5">
        <f t="shared" ca="1" si="10"/>
        <v>46283.764101967594</v>
      </c>
      <c r="Q197" s="13">
        <f t="shared" ca="1" si="11"/>
        <v>4</v>
      </c>
    </row>
    <row r="198" spans="1:17" x14ac:dyDescent="0.25">
      <c r="A198" s="2" t="s">
        <v>343</v>
      </c>
      <c r="B198" s="3">
        <v>45682</v>
      </c>
      <c r="C198" s="2" t="s">
        <v>68</v>
      </c>
      <c r="D198" s="2" t="s">
        <v>69</v>
      </c>
      <c r="E198" s="2" t="s">
        <v>31</v>
      </c>
      <c r="F198" s="2" t="s">
        <v>32</v>
      </c>
      <c r="G198" s="2" t="s">
        <v>33</v>
      </c>
      <c r="H198" s="2">
        <v>4</v>
      </c>
      <c r="I198" s="7">
        <v>59.99</v>
      </c>
      <c r="J198" s="2" t="s">
        <v>57</v>
      </c>
      <c r="K198" s="2" t="s">
        <v>63</v>
      </c>
      <c r="L198" s="2" t="s">
        <v>36</v>
      </c>
      <c r="M198" s="3">
        <v>44564</v>
      </c>
      <c r="N198" s="6">
        <v>239.96</v>
      </c>
      <c r="O198" s="4">
        <f t="shared" ca="1" si="9"/>
        <v>46283</v>
      </c>
      <c r="P198" s="5">
        <f t="shared" ca="1" si="10"/>
        <v>46283.764101967594</v>
      </c>
      <c r="Q198" s="13">
        <f t="shared" ca="1" si="11"/>
        <v>4</v>
      </c>
    </row>
    <row r="199" spans="1:17" x14ac:dyDescent="0.25">
      <c r="A199" s="2" t="s">
        <v>344</v>
      </c>
      <c r="B199" s="3">
        <v>45683</v>
      </c>
      <c r="C199" s="2" t="s">
        <v>48</v>
      </c>
      <c r="D199" s="2" t="s">
        <v>49</v>
      </c>
      <c r="E199" s="2" t="s">
        <v>17</v>
      </c>
      <c r="F199" s="2" t="s">
        <v>18</v>
      </c>
      <c r="G199" s="2" t="s">
        <v>19</v>
      </c>
      <c r="H199" s="2">
        <v>4</v>
      </c>
      <c r="I199" s="7">
        <v>249.99</v>
      </c>
      <c r="J199" s="2" t="s">
        <v>57</v>
      </c>
      <c r="K199" s="2" t="s">
        <v>21</v>
      </c>
      <c r="L199" s="2" t="s">
        <v>27</v>
      </c>
      <c r="M199" s="3">
        <v>45217</v>
      </c>
      <c r="N199" s="6">
        <v>999.96</v>
      </c>
      <c r="O199" s="4">
        <f t="shared" ca="1" si="9"/>
        <v>46283</v>
      </c>
      <c r="P199" s="5">
        <f t="shared" ca="1" si="10"/>
        <v>46283.764101967594</v>
      </c>
      <c r="Q199" s="13">
        <f t="shared" ca="1" si="11"/>
        <v>2</v>
      </c>
    </row>
    <row r="200" spans="1:17" x14ac:dyDescent="0.25">
      <c r="A200" s="2" t="s">
        <v>345</v>
      </c>
      <c r="B200" s="3">
        <v>45686</v>
      </c>
      <c r="C200" s="2" t="s">
        <v>252</v>
      </c>
      <c r="D200" s="2" t="s">
        <v>253</v>
      </c>
      <c r="E200" s="2" t="s">
        <v>61</v>
      </c>
      <c r="F200" s="2" t="s">
        <v>62</v>
      </c>
      <c r="G200" s="2" t="s">
        <v>19</v>
      </c>
      <c r="H200" s="2">
        <v>4</v>
      </c>
      <c r="I200" s="7">
        <v>899.99</v>
      </c>
      <c r="J200" s="2" t="s">
        <v>34</v>
      </c>
      <c r="K200" s="2" t="s">
        <v>21</v>
      </c>
      <c r="L200" s="2" t="s">
        <v>22</v>
      </c>
      <c r="M200" s="3">
        <v>44734</v>
      </c>
      <c r="N200" s="6">
        <v>3599.96</v>
      </c>
      <c r="O200" s="4">
        <f t="shared" ca="1" si="9"/>
        <v>46283</v>
      </c>
      <c r="P200" s="5">
        <f t="shared" ca="1" si="10"/>
        <v>46283.764101967594</v>
      </c>
      <c r="Q200" s="13">
        <f t="shared" ca="1" si="11"/>
        <v>4</v>
      </c>
    </row>
    <row r="201" spans="1:17" x14ac:dyDescent="0.25">
      <c r="A201" s="2" t="s">
        <v>346</v>
      </c>
      <c r="B201" s="3">
        <v>45686</v>
      </c>
      <c r="C201" s="2" t="s">
        <v>86</v>
      </c>
      <c r="D201" s="2" t="s">
        <v>87</v>
      </c>
      <c r="E201" s="2" t="s">
        <v>105</v>
      </c>
      <c r="F201" s="2" t="s">
        <v>106</v>
      </c>
      <c r="G201" s="2" t="s">
        <v>46</v>
      </c>
      <c r="H201" s="2">
        <v>3</v>
      </c>
      <c r="I201" s="7">
        <v>299.99</v>
      </c>
      <c r="J201" s="2" t="s">
        <v>57</v>
      </c>
      <c r="K201" s="2" t="s">
        <v>50</v>
      </c>
      <c r="L201" s="2" t="s">
        <v>36</v>
      </c>
      <c r="M201" s="3">
        <v>44952</v>
      </c>
      <c r="N201" s="6">
        <v>899.97</v>
      </c>
      <c r="O201" s="4">
        <f t="shared" ca="1" si="9"/>
        <v>46283</v>
      </c>
      <c r="P201" s="5">
        <f t="shared" ca="1" si="10"/>
        <v>46283.764101967594</v>
      </c>
      <c r="Q201" s="13">
        <f t="shared" ca="1" si="11"/>
        <v>3</v>
      </c>
    </row>
    <row r="202" spans="1:17" x14ac:dyDescent="0.25">
      <c r="A202" s="2" t="s">
        <v>347</v>
      </c>
      <c r="B202" s="3">
        <v>45686</v>
      </c>
      <c r="C202" s="2" t="s">
        <v>293</v>
      </c>
      <c r="D202" s="2" t="s">
        <v>294</v>
      </c>
      <c r="E202" s="2" t="s">
        <v>80</v>
      </c>
      <c r="F202" s="2" t="s">
        <v>81</v>
      </c>
      <c r="G202" s="2" t="s">
        <v>19</v>
      </c>
      <c r="H202" s="2">
        <v>2</v>
      </c>
      <c r="I202" s="7">
        <v>699.99</v>
      </c>
      <c r="J202" s="2" t="s">
        <v>57</v>
      </c>
      <c r="K202" s="2" t="s">
        <v>21</v>
      </c>
      <c r="L202" s="2" t="s">
        <v>27</v>
      </c>
      <c r="M202" s="3">
        <v>44681</v>
      </c>
      <c r="N202" s="6">
        <v>1399.98</v>
      </c>
      <c r="O202" s="4">
        <f t="shared" ca="1" si="9"/>
        <v>46283</v>
      </c>
      <c r="P202" s="5">
        <f t="shared" ca="1" si="10"/>
        <v>46283.764101967594</v>
      </c>
      <c r="Q202" s="13">
        <f t="shared" ca="1" si="11"/>
        <v>4</v>
      </c>
    </row>
    <row r="203" spans="1:17" x14ac:dyDescent="0.25">
      <c r="A203" s="2" t="s">
        <v>348</v>
      </c>
      <c r="B203" s="3">
        <v>45688</v>
      </c>
      <c r="C203" s="2" t="s">
        <v>65</v>
      </c>
      <c r="D203" s="2" t="s">
        <v>66</v>
      </c>
      <c r="E203" s="2" t="s">
        <v>80</v>
      </c>
      <c r="F203" s="2" t="s">
        <v>81</v>
      </c>
      <c r="G203" s="2" t="s">
        <v>19</v>
      </c>
      <c r="H203" s="2">
        <v>4</v>
      </c>
      <c r="I203" s="7">
        <v>699.99</v>
      </c>
      <c r="J203" s="2" t="s">
        <v>57</v>
      </c>
      <c r="K203" s="2" t="s">
        <v>50</v>
      </c>
      <c r="L203" s="2" t="s">
        <v>27</v>
      </c>
      <c r="M203" s="3">
        <v>44692</v>
      </c>
      <c r="N203" s="6">
        <v>2799.96</v>
      </c>
      <c r="O203" s="4">
        <f t="shared" ca="1" si="9"/>
        <v>46283</v>
      </c>
      <c r="P203" s="5">
        <f t="shared" ca="1" si="10"/>
        <v>46283.764101967594</v>
      </c>
      <c r="Q203" s="13">
        <f t="shared" ca="1" si="11"/>
        <v>4</v>
      </c>
    </row>
    <row r="204" spans="1:17" x14ac:dyDescent="0.25">
      <c r="A204" s="2" t="s">
        <v>349</v>
      </c>
      <c r="B204" s="3">
        <v>45688</v>
      </c>
      <c r="C204" s="2" t="s">
        <v>123</v>
      </c>
      <c r="D204" s="2" t="s">
        <v>124</v>
      </c>
      <c r="E204" s="2" t="s">
        <v>117</v>
      </c>
      <c r="F204" s="2" t="s">
        <v>118</v>
      </c>
      <c r="G204" s="2" t="s">
        <v>19</v>
      </c>
      <c r="H204" s="2">
        <v>2</v>
      </c>
      <c r="I204" s="7">
        <v>89.99</v>
      </c>
      <c r="J204" s="2" t="s">
        <v>57</v>
      </c>
      <c r="K204" s="2" t="s">
        <v>35</v>
      </c>
      <c r="L204" s="2" t="s">
        <v>22</v>
      </c>
      <c r="M204" s="3">
        <v>44777</v>
      </c>
      <c r="N204" s="6">
        <v>179.98</v>
      </c>
      <c r="O204" s="4">
        <f t="shared" ca="1" si="9"/>
        <v>46283</v>
      </c>
      <c r="P204" s="5">
        <f t="shared" ca="1" si="10"/>
        <v>46283.764101967594</v>
      </c>
      <c r="Q204" s="13">
        <f t="shared" ca="1" si="11"/>
        <v>4</v>
      </c>
    </row>
    <row r="205" spans="1:17" x14ac:dyDescent="0.25">
      <c r="A205" s="2" t="s">
        <v>350</v>
      </c>
      <c r="B205" s="3">
        <v>45688</v>
      </c>
      <c r="C205" s="2" t="s">
        <v>42</v>
      </c>
      <c r="D205" s="2" t="s">
        <v>43</v>
      </c>
      <c r="E205" s="2" t="s">
        <v>117</v>
      </c>
      <c r="F205" s="2" t="s">
        <v>118</v>
      </c>
      <c r="G205" s="2" t="s">
        <v>19</v>
      </c>
      <c r="H205" s="2">
        <v>3</v>
      </c>
      <c r="I205" s="7">
        <v>89.99</v>
      </c>
      <c r="J205" s="2" t="s">
        <v>57</v>
      </c>
      <c r="K205" s="2" t="s">
        <v>35</v>
      </c>
      <c r="L205" s="2" t="s">
        <v>27</v>
      </c>
      <c r="M205" s="3">
        <v>45307</v>
      </c>
      <c r="N205" s="6">
        <v>269.97000000000003</v>
      </c>
      <c r="O205" s="4">
        <f t="shared" ca="1" si="9"/>
        <v>46283</v>
      </c>
      <c r="P205" s="5">
        <f t="shared" ca="1" si="10"/>
        <v>46283.764101967594</v>
      </c>
      <c r="Q205" s="13">
        <f t="shared" ca="1" si="11"/>
        <v>2</v>
      </c>
    </row>
    <row r="206" spans="1:17" x14ac:dyDescent="0.25">
      <c r="A206" s="2" t="s">
        <v>351</v>
      </c>
      <c r="B206" s="3">
        <v>45692</v>
      </c>
      <c r="C206" s="2" t="s">
        <v>325</v>
      </c>
      <c r="D206" s="2" t="s">
        <v>326</v>
      </c>
      <c r="E206" s="2" t="s">
        <v>31</v>
      </c>
      <c r="F206" s="2" t="s">
        <v>32</v>
      </c>
      <c r="G206" s="2" t="s">
        <v>33</v>
      </c>
      <c r="H206" s="2">
        <v>1</v>
      </c>
      <c r="I206" s="7">
        <v>59.99</v>
      </c>
      <c r="J206" s="2" t="s">
        <v>57</v>
      </c>
      <c r="K206" s="2" t="s">
        <v>21</v>
      </c>
      <c r="L206" s="2" t="s">
        <v>36</v>
      </c>
      <c r="M206" s="3">
        <v>45045</v>
      </c>
      <c r="N206" s="6">
        <v>59.99</v>
      </c>
      <c r="O206" s="4">
        <f t="shared" ca="1" si="9"/>
        <v>46283</v>
      </c>
      <c r="P206" s="5">
        <f t="shared" ca="1" si="10"/>
        <v>46283.764101967594</v>
      </c>
      <c r="Q206" s="13">
        <f t="shared" ca="1" si="11"/>
        <v>3</v>
      </c>
    </row>
    <row r="207" spans="1:17" x14ac:dyDescent="0.25">
      <c r="A207" s="2" t="s">
        <v>352</v>
      </c>
      <c r="B207" s="3">
        <v>45695</v>
      </c>
      <c r="C207" s="2" t="s">
        <v>246</v>
      </c>
      <c r="D207" s="2" t="s">
        <v>247</v>
      </c>
      <c r="E207" s="2" t="s">
        <v>44</v>
      </c>
      <c r="F207" s="2" t="s">
        <v>45</v>
      </c>
      <c r="G207" s="2" t="s">
        <v>46</v>
      </c>
      <c r="H207" s="2">
        <v>3</v>
      </c>
      <c r="I207" s="7">
        <v>149.99</v>
      </c>
      <c r="J207" s="2" t="s">
        <v>57</v>
      </c>
      <c r="K207" s="2" t="s">
        <v>40</v>
      </c>
      <c r="L207" s="2" t="s">
        <v>27</v>
      </c>
      <c r="M207" s="3">
        <v>44564</v>
      </c>
      <c r="N207" s="6">
        <v>449.97</v>
      </c>
      <c r="O207" s="4">
        <f t="shared" ca="1" si="9"/>
        <v>46283</v>
      </c>
      <c r="P207" s="5">
        <f t="shared" ca="1" si="10"/>
        <v>46283.764101967594</v>
      </c>
      <c r="Q207" s="13">
        <f t="shared" ca="1" si="11"/>
        <v>4</v>
      </c>
    </row>
    <row r="208" spans="1:17" x14ac:dyDescent="0.25">
      <c r="A208" s="2" t="s">
        <v>353</v>
      </c>
      <c r="B208" s="3">
        <v>45695</v>
      </c>
      <c r="C208" s="2" t="s">
        <v>93</v>
      </c>
      <c r="D208" s="2" t="s">
        <v>94</v>
      </c>
      <c r="E208" s="2" t="s">
        <v>105</v>
      </c>
      <c r="F208" s="2" t="s">
        <v>106</v>
      </c>
      <c r="G208" s="2" t="s">
        <v>46</v>
      </c>
      <c r="H208" s="2">
        <v>5</v>
      </c>
      <c r="I208" s="7">
        <v>299.99</v>
      </c>
      <c r="J208" s="2" t="s">
        <v>26</v>
      </c>
      <c r="K208" s="2" t="s">
        <v>35</v>
      </c>
      <c r="L208" s="2" t="s">
        <v>22</v>
      </c>
      <c r="M208" s="3">
        <v>44959</v>
      </c>
      <c r="N208" s="6">
        <v>1499.95</v>
      </c>
      <c r="O208" s="4">
        <f t="shared" ca="1" si="9"/>
        <v>46283</v>
      </c>
      <c r="P208" s="5">
        <f t="shared" ca="1" si="10"/>
        <v>46283.764101967594</v>
      </c>
      <c r="Q208" s="13">
        <f t="shared" ca="1" si="11"/>
        <v>3</v>
      </c>
    </row>
    <row r="209" spans="1:17" x14ac:dyDescent="0.25">
      <c r="A209" s="2" t="s">
        <v>354</v>
      </c>
      <c r="B209" s="3">
        <v>45696</v>
      </c>
      <c r="C209" s="2" t="s">
        <v>150</v>
      </c>
      <c r="D209" s="2" t="s">
        <v>151</v>
      </c>
      <c r="E209" s="2" t="s">
        <v>31</v>
      </c>
      <c r="F209" s="2" t="s">
        <v>32</v>
      </c>
      <c r="G209" s="2" t="s">
        <v>33</v>
      </c>
      <c r="H209" s="2">
        <v>5</v>
      </c>
      <c r="I209" s="7">
        <v>59.99</v>
      </c>
      <c r="J209" s="2" t="s">
        <v>57</v>
      </c>
      <c r="K209" s="2" t="s">
        <v>21</v>
      </c>
      <c r="L209" s="2" t="s">
        <v>36</v>
      </c>
      <c r="M209" s="3">
        <v>45177</v>
      </c>
      <c r="N209" s="6">
        <v>299.95</v>
      </c>
      <c r="O209" s="4">
        <f t="shared" ca="1" si="9"/>
        <v>46283</v>
      </c>
      <c r="P209" s="5">
        <f t="shared" ca="1" si="10"/>
        <v>46283.764101967594</v>
      </c>
      <c r="Q209" s="13">
        <f t="shared" ca="1" si="11"/>
        <v>3</v>
      </c>
    </row>
    <row r="210" spans="1:17" x14ac:dyDescent="0.25">
      <c r="A210" s="2" t="s">
        <v>355</v>
      </c>
      <c r="B210" s="3">
        <v>45701</v>
      </c>
      <c r="C210" s="2" t="s">
        <v>108</v>
      </c>
      <c r="D210" s="2" t="s">
        <v>109</v>
      </c>
      <c r="E210" s="2" t="s">
        <v>114</v>
      </c>
      <c r="F210" s="2" t="s">
        <v>115</v>
      </c>
      <c r="G210" s="2" t="s">
        <v>33</v>
      </c>
      <c r="H210" s="2">
        <v>3</v>
      </c>
      <c r="I210" s="7">
        <v>79.989999999999995</v>
      </c>
      <c r="J210" s="2" t="s">
        <v>20</v>
      </c>
      <c r="K210" s="2" t="s">
        <v>63</v>
      </c>
      <c r="L210" s="2" t="s">
        <v>27</v>
      </c>
      <c r="M210" s="3">
        <v>44436</v>
      </c>
      <c r="N210" s="6">
        <v>239.97</v>
      </c>
      <c r="O210" s="4">
        <f t="shared" ca="1" si="9"/>
        <v>46283</v>
      </c>
      <c r="P210" s="5">
        <f t="shared" ca="1" si="10"/>
        <v>46283.764101967594</v>
      </c>
      <c r="Q210" s="13">
        <f t="shared" ca="1" si="11"/>
        <v>5</v>
      </c>
    </row>
    <row r="211" spans="1:17" x14ac:dyDescent="0.25">
      <c r="A211" s="2" t="s">
        <v>356</v>
      </c>
      <c r="B211" s="3">
        <v>45704</v>
      </c>
      <c r="C211" s="2" t="s">
        <v>29</v>
      </c>
      <c r="D211" s="2" t="s">
        <v>30</v>
      </c>
      <c r="E211" s="2" t="s">
        <v>126</v>
      </c>
      <c r="F211" s="2" t="s">
        <v>127</v>
      </c>
      <c r="G211" s="2" t="s">
        <v>46</v>
      </c>
      <c r="H211" s="2">
        <v>3</v>
      </c>
      <c r="I211" s="7">
        <v>199.99</v>
      </c>
      <c r="J211" s="2" t="s">
        <v>20</v>
      </c>
      <c r="K211" s="2" t="s">
        <v>21</v>
      </c>
      <c r="L211" s="2" t="s">
        <v>22</v>
      </c>
      <c r="M211" s="3">
        <v>44735</v>
      </c>
      <c r="N211" s="6">
        <v>599.97</v>
      </c>
      <c r="O211" s="4">
        <f t="shared" ca="1" si="9"/>
        <v>46283</v>
      </c>
      <c r="P211" s="5">
        <f t="shared" ca="1" si="10"/>
        <v>46283.764101967594</v>
      </c>
      <c r="Q211" s="13">
        <f t="shared" ca="1" si="11"/>
        <v>4</v>
      </c>
    </row>
    <row r="212" spans="1:17" x14ac:dyDescent="0.25">
      <c r="A212" s="2" t="s">
        <v>357</v>
      </c>
      <c r="B212" s="3">
        <v>45704</v>
      </c>
      <c r="C212" s="2" t="s">
        <v>15</v>
      </c>
      <c r="D212" s="2" t="s">
        <v>16</v>
      </c>
      <c r="E212" s="2" t="s">
        <v>117</v>
      </c>
      <c r="F212" s="2" t="s">
        <v>118</v>
      </c>
      <c r="G212" s="2" t="s">
        <v>19</v>
      </c>
      <c r="H212" s="2">
        <v>2</v>
      </c>
      <c r="I212" s="7">
        <v>89.99</v>
      </c>
      <c r="J212" s="2" t="s">
        <v>34</v>
      </c>
      <c r="K212" s="2" t="s">
        <v>21</v>
      </c>
      <c r="L212" s="2" t="s">
        <v>22</v>
      </c>
      <c r="M212" s="3">
        <v>45257</v>
      </c>
      <c r="N212" s="6">
        <v>179.98</v>
      </c>
      <c r="O212" s="4">
        <f t="shared" ca="1" si="9"/>
        <v>46283</v>
      </c>
      <c r="P212" s="5">
        <f t="shared" ca="1" si="10"/>
        <v>46283.764101967594</v>
      </c>
      <c r="Q212" s="13">
        <f t="shared" ca="1" si="11"/>
        <v>2</v>
      </c>
    </row>
    <row r="213" spans="1:17" x14ac:dyDescent="0.25">
      <c r="A213" s="2" t="s">
        <v>358</v>
      </c>
      <c r="B213" s="3">
        <v>45705</v>
      </c>
      <c r="C213" s="2" t="s">
        <v>259</v>
      </c>
      <c r="D213" s="2" t="s">
        <v>260</v>
      </c>
      <c r="E213" s="2" t="s">
        <v>44</v>
      </c>
      <c r="F213" s="2" t="s">
        <v>45</v>
      </c>
      <c r="G213" s="2" t="s">
        <v>46</v>
      </c>
      <c r="H213" s="2">
        <v>2</v>
      </c>
      <c r="I213" s="7">
        <v>149.99</v>
      </c>
      <c r="J213" s="2" t="s">
        <v>20</v>
      </c>
      <c r="K213" s="2" t="s">
        <v>35</v>
      </c>
      <c r="L213" s="2" t="s">
        <v>27</v>
      </c>
      <c r="M213" s="3">
        <v>44728</v>
      </c>
      <c r="N213" s="6">
        <v>299.98</v>
      </c>
      <c r="O213" s="4">
        <f t="shared" ca="1" si="9"/>
        <v>46283</v>
      </c>
      <c r="P213" s="5">
        <f t="shared" ca="1" si="10"/>
        <v>46283.764101967594</v>
      </c>
      <c r="Q213" s="13">
        <f t="shared" ca="1" si="11"/>
        <v>4</v>
      </c>
    </row>
    <row r="214" spans="1:17" x14ac:dyDescent="0.25">
      <c r="A214" s="2" t="s">
        <v>359</v>
      </c>
      <c r="B214" s="3">
        <v>45707</v>
      </c>
      <c r="C214" s="2" t="s">
        <v>123</v>
      </c>
      <c r="D214" s="2" t="s">
        <v>124</v>
      </c>
      <c r="E214" s="2" t="s">
        <v>80</v>
      </c>
      <c r="F214" s="2" t="s">
        <v>81</v>
      </c>
      <c r="G214" s="2" t="s">
        <v>19</v>
      </c>
      <c r="H214" s="2">
        <v>5</v>
      </c>
      <c r="I214" s="7">
        <v>699.99</v>
      </c>
      <c r="J214" s="2" t="s">
        <v>34</v>
      </c>
      <c r="K214" s="2" t="s">
        <v>35</v>
      </c>
      <c r="L214" s="2" t="s">
        <v>27</v>
      </c>
      <c r="M214" s="3">
        <v>45352</v>
      </c>
      <c r="N214" s="6">
        <v>3499.95</v>
      </c>
      <c r="O214" s="4">
        <f t="shared" ca="1" si="9"/>
        <v>46283</v>
      </c>
      <c r="P214" s="5">
        <f t="shared" ca="1" si="10"/>
        <v>46283.764101967594</v>
      </c>
      <c r="Q214" s="13">
        <f t="shared" ca="1" si="11"/>
        <v>2</v>
      </c>
    </row>
    <row r="215" spans="1:17" x14ac:dyDescent="0.25">
      <c r="A215" s="2" t="s">
        <v>360</v>
      </c>
      <c r="B215" s="3">
        <v>45707</v>
      </c>
      <c r="C215" s="2" t="s">
        <v>42</v>
      </c>
      <c r="D215" s="2" t="s">
        <v>43</v>
      </c>
      <c r="E215" s="2" t="s">
        <v>44</v>
      </c>
      <c r="F215" s="2" t="s">
        <v>45</v>
      </c>
      <c r="G215" s="2" t="s">
        <v>46</v>
      </c>
      <c r="H215" s="2">
        <v>3</v>
      </c>
      <c r="I215" s="7">
        <v>149.99</v>
      </c>
      <c r="J215" s="2" t="s">
        <v>34</v>
      </c>
      <c r="K215" s="2" t="s">
        <v>21</v>
      </c>
      <c r="L215" s="2" t="s">
        <v>36</v>
      </c>
      <c r="M215" s="3">
        <v>44633</v>
      </c>
      <c r="N215" s="6">
        <v>449.97</v>
      </c>
      <c r="O215" s="4">
        <f t="shared" ca="1" si="9"/>
        <v>46283</v>
      </c>
      <c r="P215" s="5">
        <f t="shared" ca="1" si="10"/>
        <v>46283.764101967594</v>
      </c>
      <c r="Q215" s="13">
        <f t="shared" ca="1" si="11"/>
        <v>4</v>
      </c>
    </row>
    <row r="216" spans="1:17" x14ac:dyDescent="0.25">
      <c r="A216" s="2" t="s">
        <v>361</v>
      </c>
      <c r="B216" s="3">
        <v>45708</v>
      </c>
      <c r="C216" s="2" t="s">
        <v>96</v>
      </c>
      <c r="D216" s="2" t="s">
        <v>97</v>
      </c>
      <c r="E216" s="2" t="s">
        <v>61</v>
      </c>
      <c r="F216" s="2" t="s">
        <v>62</v>
      </c>
      <c r="G216" s="2" t="s">
        <v>19</v>
      </c>
      <c r="H216" s="2">
        <v>3</v>
      </c>
      <c r="I216" s="7">
        <v>899.99</v>
      </c>
      <c r="J216" s="2" t="s">
        <v>20</v>
      </c>
      <c r="K216" s="2" t="s">
        <v>63</v>
      </c>
      <c r="L216" s="2" t="s">
        <v>36</v>
      </c>
      <c r="M216" s="3">
        <v>44613</v>
      </c>
      <c r="N216" s="6">
        <v>2699.97</v>
      </c>
      <c r="O216" s="4">
        <f t="shared" ca="1" si="9"/>
        <v>46283</v>
      </c>
      <c r="P216" s="5">
        <f t="shared" ca="1" si="10"/>
        <v>46283.764101967594</v>
      </c>
      <c r="Q216" s="13">
        <f t="shared" ca="1" si="11"/>
        <v>4</v>
      </c>
    </row>
    <row r="217" spans="1:17" x14ac:dyDescent="0.25">
      <c r="A217" s="2" t="s">
        <v>362</v>
      </c>
      <c r="B217" s="3">
        <v>45708</v>
      </c>
      <c r="C217" s="2" t="s">
        <v>192</v>
      </c>
      <c r="D217" s="2" t="s">
        <v>193</v>
      </c>
      <c r="E217" s="2" t="s">
        <v>126</v>
      </c>
      <c r="F217" s="2" t="s">
        <v>127</v>
      </c>
      <c r="G217" s="2" t="s">
        <v>46</v>
      </c>
      <c r="H217" s="2">
        <v>3</v>
      </c>
      <c r="I217" s="7">
        <v>199.99</v>
      </c>
      <c r="J217" s="2" t="s">
        <v>20</v>
      </c>
      <c r="K217" s="2" t="s">
        <v>50</v>
      </c>
      <c r="L217" s="2" t="s">
        <v>27</v>
      </c>
      <c r="M217" s="3">
        <v>44823</v>
      </c>
      <c r="N217" s="6">
        <v>599.97</v>
      </c>
      <c r="O217" s="4">
        <f t="shared" ca="1" si="9"/>
        <v>46283</v>
      </c>
      <c r="P217" s="5">
        <f t="shared" ca="1" si="10"/>
        <v>46283.764101967594</v>
      </c>
      <c r="Q217" s="13">
        <f t="shared" ca="1" si="11"/>
        <v>3</v>
      </c>
    </row>
    <row r="218" spans="1:17" x14ac:dyDescent="0.25">
      <c r="A218" s="2" t="s">
        <v>363</v>
      </c>
      <c r="B218" s="3">
        <v>45710</v>
      </c>
      <c r="C218" s="2" t="s">
        <v>55</v>
      </c>
      <c r="D218" s="2" t="s">
        <v>56</v>
      </c>
      <c r="E218" s="2" t="s">
        <v>105</v>
      </c>
      <c r="F218" s="2" t="s">
        <v>106</v>
      </c>
      <c r="G218" s="2" t="s">
        <v>46</v>
      </c>
      <c r="H218" s="2">
        <v>5</v>
      </c>
      <c r="I218" s="7">
        <v>299.99</v>
      </c>
      <c r="J218" s="2" t="s">
        <v>20</v>
      </c>
      <c r="K218" s="2" t="s">
        <v>50</v>
      </c>
      <c r="L218" s="2" t="s">
        <v>36</v>
      </c>
      <c r="M218" s="3">
        <v>45142</v>
      </c>
      <c r="N218" s="6">
        <v>1499.95</v>
      </c>
      <c r="O218" s="4">
        <f t="shared" ca="1" si="9"/>
        <v>46283</v>
      </c>
      <c r="P218" s="5">
        <f t="shared" ca="1" si="10"/>
        <v>46283.764101967594</v>
      </c>
      <c r="Q218" s="13">
        <f t="shared" ca="1" si="11"/>
        <v>3</v>
      </c>
    </row>
    <row r="219" spans="1:17" x14ac:dyDescent="0.25">
      <c r="A219" s="2" t="s">
        <v>364</v>
      </c>
      <c r="B219" s="3">
        <v>45710</v>
      </c>
      <c r="C219" s="2" t="s">
        <v>150</v>
      </c>
      <c r="D219" s="2" t="s">
        <v>151</v>
      </c>
      <c r="E219" s="2" t="s">
        <v>80</v>
      </c>
      <c r="F219" s="2" t="s">
        <v>81</v>
      </c>
      <c r="G219" s="2" t="s">
        <v>19</v>
      </c>
      <c r="H219" s="2">
        <v>1</v>
      </c>
      <c r="I219" s="7">
        <v>699.99</v>
      </c>
      <c r="J219" s="2" t="s">
        <v>34</v>
      </c>
      <c r="K219" s="2" t="s">
        <v>50</v>
      </c>
      <c r="L219" s="2" t="s">
        <v>22</v>
      </c>
      <c r="M219" s="3">
        <v>44934</v>
      </c>
      <c r="N219" s="6">
        <v>699.99</v>
      </c>
      <c r="O219" s="4">
        <f t="shared" ca="1" si="9"/>
        <v>46283</v>
      </c>
      <c r="P219" s="5">
        <f t="shared" ca="1" si="10"/>
        <v>46283.764101967594</v>
      </c>
      <c r="Q219" s="13">
        <f t="shared" ca="1" si="11"/>
        <v>3</v>
      </c>
    </row>
    <row r="220" spans="1:17" x14ac:dyDescent="0.25">
      <c r="A220" s="2" t="s">
        <v>365</v>
      </c>
      <c r="B220" s="3">
        <v>45711</v>
      </c>
      <c r="C220" s="2" t="s">
        <v>246</v>
      </c>
      <c r="D220" s="2" t="s">
        <v>247</v>
      </c>
      <c r="E220" s="2" t="s">
        <v>80</v>
      </c>
      <c r="F220" s="2" t="s">
        <v>81</v>
      </c>
      <c r="G220" s="2" t="s">
        <v>19</v>
      </c>
      <c r="H220" s="2">
        <v>1</v>
      </c>
      <c r="I220" s="7">
        <v>699.99</v>
      </c>
      <c r="J220" s="2" t="s">
        <v>20</v>
      </c>
      <c r="K220" s="2" t="s">
        <v>40</v>
      </c>
      <c r="L220" s="2" t="s">
        <v>27</v>
      </c>
      <c r="M220" s="3">
        <v>44583</v>
      </c>
      <c r="N220" s="6">
        <v>699.99</v>
      </c>
      <c r="O220" s="4">
        <f t="shared" ca="1" si="9"/>
        <v>46283</v>
      </c>
      <c r="P220" s="5">
        <f t="shared" ca="1" si="10"/>
        <v>46283.764101967594</v>
      </c>
      <c r="Q220" s="13">
        <f t="shared" ca="1" si="11"/>
        <v>4</v>
      </c>
    </row>
    <row r="221" spans="1:17" x14ac:dyDescent="0.25">
      <c r="A221" s="2" t="s">
        <v>366</v>
      </c>
      <c r="B221" s="3">
        <v>45711</v>
      </c>
      <c r="C221" s="2" t="s">
        <v>325</v>
      </c>
      <c r="D221" s="2" t="s">
        <v>326</v>
      </c>
      <c r="E221" s="2" t="s">
        <v>44</v>
      </c>
      <c r="F221" s="2" t="s">
        <v>45</v>
      </c>
      <c r="G221" s="2" t="s">
        <v>46</v>
      </c>
      <c r="H221" s="2">
        <v>4</v>
      </c>
      <c r="I221" s="7">
        <v>149.99</v>
      </c>
      <c r="J221" s="2" t="s">
        <v>34</v>
      </c>
      <c r="K221" s="2" t="s">
        <v>40</v>
      </c>
      <c r="L221" s="2" t="s">
        <v>27</v>
      </c>
      <c r="M221" s="3">
        <v>44412</v>
      </c>
      <c r="N221" s="6">
        <v>599.96</v>
      </c>
      <c r="O221" s="4">
        <f t="shared" ca="1" si="9"/>
        <v>46283</v>
      </c>
      <c r="P221" s="5">
        <f t="shared" ca="1" si="10"/>
        <v>46283.764101967594</v>
      </c>
      <c r="Q221" s="13">
        <f t="shared" ca="1" si="11"/>
        <v>5</v>
      </c>
    </row>
    <row r="222" spans="1:17" x14ac:dyDescent="0.25">
      <c r="A222" s="2" t="s">
        <v>367</v>
      </c>
      <c r="B222" s="3">
        <v>45711</v>
      </c>
      <c r="C222" s="2" t="s">
        <v>211</v>
      </c>
      <c r="D222" s="2" t="s">
        <v>212</v>
      </c>
      <c r="E222" s="2" t="s">
        <v>117</v>
      </c>
      <c r="F222" s="2" t="s">
        <v>118</v>
      </c>
      <c r="G222" s="2" t="s">
        <v>19</v>
      </c>
      <c r="H222" s="2">
        <v>5</v>
      </c>
      <c r="I222" s="7">
        <v>89.99</v>
      </c>
      <c r="J222" s="2" t="s">
        <v>34</v>
      </c>
      <c r="K222" s="2" t="s">
        <v>50</v>
      </c>
      <c r="L222" s="2" t="s">
        <v>27</v>
      </c>
      <c r="M222" s="3">
        <v>45140</v>
      </c>
      <c r="N222" s="6">
        <v>449.95</v>
      </c>
      <c r="O222" s="4">
        <f t="shared" ca="1" si="9"/>
        <v>46283</v>
      </c>
      <c r="P222" s="5">
        <f t="shared" ca="1" si="10"/>
        <v>46283.764101967594</v>
      </c>
      <c r="Q222" s="13">
        <f t="shared" ca="1" si="11"/>
        <v>3</v>
      </c>
    </row>
    <row r="223" spans="1:17" x14ac:dyDescent="0.25">
      <c r="A223" s="2" t="s">
        <v>368</v>
      </c>
      <c r="B223" s="3">
        <v>45712</v>
      </c>
      <c r="C223" s="2" t="s">
        <v>138</v>
      </c>
      <c r="D223" s="2" t="s">
        <v>139</v>
      </c>
      <c r="E223" s="2" t="s">
        <v>126</v>
      </c>
      <c r="F223" s="2" t="s">
        <v>127</v>
      </c>
      <c r="G223" s="2" t="s">
        <v>46</v>
      </c>
      <c r="H223" s="2">
        <v>2</v>
      </c>
      <c r="I223" s="7">
        <v>199.99</v>
      </c>
      <c r="J223" s="2" t="s">
        <v>20</v>
      </c>
      <c r="K223" s="2" t="s">
        <v>21</v>
      </c>
      <c r="L223" s="2" t="s">
        <v>27</v>
      </c>
      <c r="M223" s="3">
        <v>44573</v>
      </c>
      <c r="N223" s="6">
        <v>399.98</v>
      </c>
      <c r="O223" s="4">
        <f t="shared" ca="1" si="9"/>
        <v>46283</v>
      </c>
      <c r="P223" s="5">
        <f t="shared" ca="1" si="10"/>
        <v>46283.764101967594</v>
      </c>
      <c r="Q223" s="13">
        <f t="shared" ca="1" si="11"/>
        <v>4</v>
      </c>
    </row>
    <row r="224" spans="1:17" x14ac:dyDescent="0.25">
      <c r="A224" s="2" t="s">
        <v>369</v>
      </c>
      <c r="B224" s="3">
        <v>45715</v>
      </c>
      <c r="C224" s="2" t="s">
        <v>259</v>
      </c>
      <c r="D224" s="2" t="s">
        <v>260</v>
      </c>
      <c r="E224" s="2" t="s">
        <v>31</v>
      </c>
      <c r="F224" s="2" t="s">
        <v>32</v>
      </c>
      <c r="G224" s="2" t="s">
        <v>33</v>
      </c>
      <c r="H224" s="2">
        <v>4</v>
      </c>
      <c r="I224" s="7">
        <v>59.99</v>
      </c>
      <c r="J224" s="2" t="s">
        <v>20</v>
      </c>
      <c r="K224" s="2" t="s">
        <v>50</v>
      </c>
      <c r="L224" s="2" t="s">
        <v>36</v>
      </c>
      <c r="M224" s="3">
        <v>45070</v>
      </c>
      <c r="N224" s="6">
        <v>239.96</v>
      </c>
      <c r="O224" s="4">
        <f t="shared" ca="1" si="9"/>
        <v>46283</v>
      </c>
      <c r="P224" s="5">
        <f t="shared" ca="1" si="10"/>
        <v>46283.764101967594</v>
      </c>
      <c r="Q224" s="13">
        <f t="shared" ca="1" si="11"/>
        <v>3</v>
      </c>
    </row>
    <row r="225" spans="1:17" x14ac:dyDescent="0.25">
      <c r="A225" s="2" t="s">
        <v>370</v>
      </c>
      <c r="B225" s="3">
        <v>45715</v>
      </c>
      <c r="C225" s="2" t="s">
        <v>93</v>
      </c>
      <c r="D225" s="2" t="s">
        <v>94</v>
      </c>
      <c r="E225" s="2" t="s">
        <v>105</v>
      </c>
      <c r="F225" s="2" t="s">
        <v>106</v>
      </c>
      <c r="G225" s="2" t="s">
        <v>46</v>
      </c>
      <c r="H225" s="2">
        <v>2</v>
      </c>
      <c r="I225" s="7">
        <v>299.99</v>
      </c>
      <c r="J225" s="2" t="s">
        <v>34</v>
      </c>
      <c r="K225" s="2" t="s">
        <v>35</v>
      </c>
      <c r="L225" s="2" t="s">
        <v>22</v>
      </c>
      <c r="M225" s="3">
        <v>44576</v>
      </c>
      <c r="N225" s="6">
        <v>599.98</v>
      </c>
      <c r="O225" s="4">
        <f t="shared" ca="1" si="9"/>
        <v>46283</v>
      </c>
      <c r="P225" s="5">
        <f t="shared" ca="1" si="10"/>
        <v>46283.764101967594</v>
      </c>
      <c r="Q225" s="13">
        <f t="shared" ca="1" si="11"/>
        <v>4</v>
      </c>
    </row>
    <row r="226" spans="1:17" x14ac:dyDescent="0.25">
      <c r="A226" s="2" t="s">
        <v>371</v>
      </c>
      <c r="B226" s="3">
        <v>45718</v>
      </c>
      <c r="C226" s="2" t="s">
        <v>55</v>
      </c>
      <c r="D226" s="2" t="s">
        <v>56</v>
      </c>
      <c r="E226" s="2" t="s">
        <v>44</v>
      </c>
      <c r="F226" s="2" t="s">
        <v>45</v>
      </c>
      <c r="G226" s="2" t="s">
        <v>46</v>
      </c>
      <c r="H226" s="2">
        <v>2</v>
      </c>
      <c r="I226" s="7">
        <v>149.99</v>
      </c>
      <c r="J226" s="2" t="s">
        <v>20</v>
      </c>
      <c r="K226" s="2" t="s">
        <v>21</v>
      </c>
      <c r="L226" s="2" t="s">
        <v>22</v>
      </c>
      <c r="M226" s="3">
        <v>45068</v>
      </c>
      <c r="N226" s="6">
        <v>299.98</v>
      </c>
      <c r="O226" s="4">
        <f t="shared" ca="1" si="9"/>
        <v>46283</v>
      </c>
      <c r="P226" s="5">
        <f t="shared" ca="1" si="10"/>
        <v>46283.764101967594</v>
      </c>
      <c r="Q226" s="13">
        <f t="shared" ca="1" si="11"/>
        <v>3</v>
      </c>
    </row>
    <row r="227" spans="1:17" x14ac:dyDescent="0.25">
      <c r="A227" s="2" t="s">
        <v>372</v>
      </c>
      <c r="B227" s="3">
        <v>45720</v>
      </c>
      <c r="C227" s="2" t="s">
        <v>226</v>
      </c>
      <c r="D227" s="2" t="s">
        <v>227</v>
      </c>
      <c r="E227" s="2" t="s">
        <v>80</v>
      </c>
      <c r="F227" s="2" t="s">
        <v>81</v>
      </c>
      <c r="G227" s="2" t="s">
        <v>19</v>
      </c>
      <c r="H227" s="2">
        <v>5</v>
      </c>
      <c r="I227" s="7">
        <v>699.99</v>
      </c>
      <c r="J227" s="2" t="s">
        <v>57</v>
      </c>
      <c r="K227" s="2" t="s">
        <v>63</v>
      </c>
      <c r="L227" s="2" t="s">
        <v>27</v>
      </c>
      <c r="M227" s="3">
        <v>45161</v>
      </c>
      <c r="N227" s="6">
        <v>3499.95</v>
      </c>
      <c r="O227" s="4">
        <f t="shared" ca="1" si="9"/>
        <v>46283</v>
      </c>
      <c r="P227" s="5">
        <f t="shared" ca="1" si="10"/>
        <v>46283.764101967594</v>
      </c>
      <c r="Q227" s="13">
        <f t="shared" ca="1" si="11"/>
        <v>3</v>
      </c>
    </row>
    <row r="228" spans="1:17" x14ac:dyDescent="0.25">
      <c r="A228" s="2" t="s">
        <v>373</v>
      </c>
      <c r="B228" s="3">
        <v>45721</v>
      </c>
      <c r="C228" s="2" t="s">
        <v>75</v>
      </c>
      <c r="D228" s="2" t="s">
        <v>76</v>
      </c>
      <c r="E228" s="2" t="s">
        <v>31</v>
      </c>
      <c r="F228" s="2" t="s">
        <v>32</v>
      </c>
      <c r="G228" s="2" t="s">
        <v>33</v>
      </c>
      <c r="H228" s="2">
        <v>5</v>
      </c>
      <c r="I228" s="7">
        <v>59.99</v>
      </c>
      <c r="J228" s="2" t="s">
        <v>20</v>
      </c>
      <c r="K228" s="2" t="s">
        <v>50</v>
      </c>
      <c r="L228" s="2" t="s">
        <v>27</v>
      </c>
      <c r="M228" s="3">
        <v>45291</v>
      </c>
      <c r="N228" s="6">
        <v>299.95</v>
      </c>
      <c r="O228" s="4">
        <f t="shared" ca="1" si="9"/>
        <v>46283</v>
      </c>
      <c r="P228" s="5">
        <f t="shared" ca="1" si="10"/>
        <v>46283.764101967594</v>
      </c>
      <c r="Q228" s="13">
        <f t="shared" ca="1" si="11"/>
        <v>2</v>
      </c>
    </row>
    <row r="229" spans="1:17" x14ac:dyDescent="0.25">
      <c r="A229" s="2" t="s">
        <v>374</v>
      </c>
      <c r="B229" s="3">
        <v>45723</v>
      </c>
      <c r="C229" s="2" t="s">
        <v>15</v>
      </c>
      <c r="D229" s="2" t="s">
        <v>16</v>
      </c>
      <c r="E229" s="2" t="s">
        <v>117</v>
      </c>
      <c r="F229" s="2" t="s">
        <v>118</v>
      </c>
      <c r="G229" s="2" t="s">
        <v>19</v>
      </c>
      <c r="H229" s="2">
        <v>2</v>
      </c>
      <c r="I229" s="7">
        <v>89.99</v>
      </c>
      <c r="J229" s="2" t="s">
        <v>26</v>
      </c>
      <c r="K229" s="2" t="s">
        <v>50</v>
      </c>
      <c r="L229" s="2" t="s">
        <v>27</v>
      </c>
      <c r="M229" s="3">
        <v>45295</v>
      </c>
      <c r="N229" s="6">
        <v>179.98</v>
      </c>
      <c r="O229" s="4">
        <f t="shared" ca="1" si="9"/>
        <v>46283</v>
      </c>
      <c r="P229" s="5">
        <f t="shared" ca="1" si="10"/>
        <v>46283.764101967594</v>
      </c>
      <c r="Q229" s="13">
        <f t="shared" ca="1" si="11"/>
        <v>2</v>
      </c>
    </row>
    <row r="230" spans="1:17" x14ac:dyDescent="0.25">
      <c r="A230" s="2" t="s">
        <v>375</v>
      </c>
      <c r="B230" s="3">
        <v>45723</v>
      </c>
      <c r="C230" s="2" t="s">
        <v>120</v>
      </c>
      <c r="D230" s="2" t="s">
        <v>121</v>
      </c>
      <c r="E230" s="2" t="s">
        <v>17</v>
      </c>
      <c r="F230" s="2" t="s">
        <v>18</v>
      </c>
      <c r="G230" s="2" t="s">
        <v>19</v>
      </c>
      <c r="H230" s="2">
        <v>5</v>
      </c>
      <c r="I230" s="7">
        <v>249.99</v>
      </c>
      <c r="J230" s="2" t="s">
        <v>20</v>
      </c>
      <c r="K230" s="2" t="s">
        <v>63</v>
      </c>
      <c r="L230" s="2" t="s">
        <v>36</v>
      </c>
      <c r="M230" s="3">
        <v>44540</v>
      </c>
      <c r="N230" s="6">
        <v>1249.95</v>
      </c>
      <c r="O230" s="4">
        <f t="shared" ca="1" si="9"/>
        <v>46283</v>
      </c>
      <c r="P230" s="5">
        <f t="shared" ca="1" si="10"/>
        <v>46283.764101967594</v>
      </c>
      <c r="Q230" s="13">
        <f t="shared" ca="1" si="11"/>
        <v>4</v>
      </c>
    </row>
    <row r="231" spans="1:17" x14ac:dyDescent="0.25">
      <c r="A231" s="2" t="s">
        <v>376</v>
      </c>
      <c r="B231" s="3">
        <v>45724</v>
      </c>
      <c r="C231" s="2" t="s">
        <v>226</v>
      </c>
      <c r="D231" s="2" t="s">
        <v>227</v>
      </c>
      <c r="E231" s="2" t="s">
        <v>44</v>
      </c>
      <c r="F231" s="2" t="s">
        <v>45</v>
      </c>
      <c r="G231" s="2" t="s">
        <v>46</v>
      </c>
      <c r="H231" s="2">
        <v>2</v>
      </c>
      <c r="I231" s="7">
        <v>149.99</v>
      </c>
      <c r="J231" s="2" t="s">
        <v>34</v>
      </c>
      <c r="K231" s="2" t="s">
        <v>21</v>
      </c>
      <c r="L231" s="2" t="s">
        <v>27</v>
      </c>
      <c r="M231" s="3">
        <v>44632</v>
      </c>
      <c r="N231" s="6">
        <v>299.98</v>
      </c>
      <c r="O231" s="4">
        <f t="shared" ca="1" si="9"/>
        <v>46283</v>
      </c>
      <c r="P231" s="5">
        <f t="shared" ca="1" si="10"/>
        <v>46283.764101967594</v>
      </c>
      <c r="Q231" s="13">
        <f t="shared" ca="1" si="11"/>
        <v>4</v>
      </c>
    </row>
    <row r="232" spans="1:17" x14ac:dyDescent="0.25">
      <c r="A232" s="2" t="s">
        <v>377</v>
      </c>
      <c r="B232" s="3">
        <v>45724</v>
      </c>
      <c r="C232" s="2" t="s">
        <v>144</v>
      </c>
      <c r="D232" s="2" t="s">
        <v>145</v>
      </c>
      <c r="E232" s="2" t="s">
        <v>61</v>
      </c>
      <c r="F232" s="2" t="s">
        <v>62</v>
      </c>
      <c r="G232" s="2" t="s">
        <v>19</v>
      </c>
      <c r="H232" s="2">
        <v>5</v>
      </c>
      <c r="I232" s="7">
        <v>899.99</v>
      </c>
      <c r="J232" s="2" t="s">
        <v>34</v>
      </c>
      <c r="K232" s="2" t="s">
        <v>63</v>
      </c>
      <c r="L232" s="2" t="s">
        <v>27</v>
      </c>
      <c r="M232" s="3">
        <v>45389</v>
      </c>
      <c r="N232" s="6">
        <v>4499.95</v>
      </c>
      <c r="O232" s="4">
        <f t="shared" ca="1" si="9"/>
        <v>46283</v>
      </c>
      <c r="P232" s="5">
        <f t="shared" ca="1" si="10"/>
        <v>46283.764101967594</v>
      </c>
      <c r="Q232" s="13">
        <f t="shared" ca="1" si="11"/>
        <v>2</v>
      </c>
    </row>
    <row r="233" spans="1:17" x14ac:dyDescent="0.25">
      <c r="A233" s="2" t="s">
        <v>378</v>
      </c>
      <c r="B233" s="3">
        <v>45724</v>
      </c>
      <c r="C233" s="2" t="s">
        <v>55</v>
      </c>
      <c r="D233" s="2" t="s">
        <v>56</v>
      </c>
      <c r="E233" s="2" t="s">
        <v>44</v>
      </c>
      <c r="F233" s="2" t="s">
        <v>45</v>
      </c>
      <c r="G233" s="2" t="s">
        <v>46</v>
      </c>
      <c r="H233" s="2">
        <v>4</v>
      </c>
      <c r="I233" s="7">
        <v>149.99</v>
      </c>
      <c r="J233" s="2" t="s">
        <v>20</v>
      </c>
      <c r="K233" s="2" t="s">
        <v>21</v>
      </c>
      <c r="L233" s="2" t="s">
        <v>36</v>
      </c>
      <c r="M233" s="3">
        <v>45263</v>
      </c>
      <c r="N233" s="6">
        <v>599.96</v>
      </c>
      <c r="O233" s="4">
        <f t="shared" ca="1" si="9"/>
        <v>46283</v>
      </c>
      <c r="P233" s="5">
        <f t="shared" ca="1" si="10"/>
        <v>46283.764101967594</v>
      </c>
      <c r="Q233" s="13">
        <f t="shared" ca="1" si="11"/>
        <v>2</v>
      </c>
    </row>
    <row r="234" spans="1:17" x14ac:dyDescent="0.25">
      <c r="A234" s="2" t="s">
        <v>379</v>
      </c>
      <c r="B234" s="3">
        <v>45726</v>
      </c>
      <c r="C234" s="2" t="s">
        <v>144</v>
      </c>
      <c r="D234" s="2" t="s">
        <v>145</v>
      </c>
      <c r="E234" s="2" t="s">
        <v>17</v>
      </c>
      <c r="F234" s="2" t="s">
        <v>18</v>
      </c>
      <c r="G234" s="2" t="s">
        <v>19</v>
      </c>
      <c r="H234" s="2">
        <v>1</v>
      </c>
      <c r="I234" s="7">
        <v>249.99</v>
      </c>
      <c r="J234" s="2" t="s">
        <v>20</v>
      </c>
      <c r="K234" s="2" t="s">
        <v>40</v>
      </c>
      <c r="L234" s="2" t="s">
        <v>36</v>
      </c>
      <c r="M234" s="3">
        <v>45117</v>
      </c>
      <c r="N234" s="6">
        <v>249.99</v>
      </c>
      <c r="O234" s="4">
        <f t="shared" ca="1" si="9"/>
        <v>46283</v>
      </c>
      <c r="P234" s="5">
        <f t="shared" ca="1" si="10"/>
        <v>46283.764101967594</v>
      </c>
      <c r="Q234" s="13">
        <f t="shared" ca="1" si="11"/>
        <v>3</v>
      </c>
    </row>
    <row r="235" spans="1:17" x14ac:dyDescent="0.25">
      <c r="A235" s="2" t="s">
        <v>380</v>
      </c>
      <c r="B235" s="3">
        <v>45734</v>
      </c>
      <c r="C235" s="2" t="s">
        <v>192</v>
      </c>
      <c r="D235" s="2" t="s">
        <v>193</v>
      </c>
      <c r="E235" s="2" t="s">
        <v>31</v>
      </c>
      <c r="F235" s="2" t="s">
        <v>32</v>
      </c>
      <c r="G235" s="2" t="s">
        <v>33</v>
      </c>
      <c r="H235" s="2">
        <v>2</v>
      </c>
      <c r="I235" s="7">
        <v>59.99</v>
      </c>
      <c r="J235" s="2" t="s">
        <v>26</v>
      </c>
      <c r="K235" s="2" t="s">
        <v>50</v>
      </c>
      <c r="L235" s="2" t="s">
        <v>22</v>
      </c>
      <c r="M235" s="3">
        <v>45193</v>
      </c>
      <c r="N235" s="6">
        <v>119.98</v>
      </c>
      <c r="O235" s="4">
        <f t="shared" ca="1" si="9"/>
        <v>46283</v>
      </c>
      <c r="P235" s="5">
        <f t="shared" ca="1" si="10"/>
        <v>46283.764101967594</v>
      </c>
      <c r="Q235" s="13">
        <f t="shared" ca="1" si="11"/>
        <v>2</v>
      </c>
    </row>
    <row r="236" spans="1:17" x14ac:dyDescent="0.25">
      <c r="A236" s="2" t="s">
        <v>381</v>
      </c>
      <c r="B236" s="3">
        <v>45737</v>
      </c>
      <c r="C236" s="2" t="s">
        <v>132</v>
      </c>
      <c r="D236" s="2" t="s">
        <v>133</v>
      </c>
      <c r="E236" s="2" t="s">
        <v>44</v>
      </c>
      <c r="F236" s="2" t="s">
        <v>45</v>
      </c>
      <c r="G236" s="2" t="s">
        <v>46</v>
      </c>
      <c r="H236" s="2">
        <v>2</v>
      </c>
      <c r="I236" s="7">
        <v>149.99</v>
      </c>
      <c r="J236" s="2" t="s">
        <v>20</v>
      </c>
      <c r="K236" s="2" t="s">
        <v>50</v>
      </c>
      <c r="L236" s="2" t="s">
        <v>27</v>
      </c>
      <c r="M236" s="3">
        <v>45233</v>
      </c>
      <c r="N236" s="6">
        <v>299.98</v>
      </c>
      <c r="O236" s="4">
        <f t="shared" ca="1" si="9"/>
        <v>46283</v>
      </c>
      <c r="P236" s="5">
        <f t="shared" ca="1" si="10"/>
        <v>46283.764101967594</v>
      </c>
      <c r="Q236" s="13">
        <f t="shared" ca="1" si="11"/>
        <v>2</v>
      </c>
    </row>
    <row r="237" spans="1:17" x14ac:dyDescent="0.25">
      <c r="A237" s="2" t="s">
        <v>382</v>
      </c>
      <c r="B237" s="3">
        <v>45737</v>
      </c>
      <c r="C237" s="2" t="s">
        <v>150</v>
      </c>
      <c r="D237" s="2" t="s">
        <v>151</v>
      </c>
      <c r="E237" s="2" t="s">
        <v>61</v>
      </c>
      <c r="F237" s="2" t="s">
        <v>62</v>
      </c>
      <c r="G237" s="2" t="s">
        <v>19</v>
      </c>
      <c r="H237" s="2">
        <v>3</v>
      </c>
      <c r="I237" s="7">
        <v>899.99</v>
      </c>
      <c r="J237" s="2" t="s">
        <v>57</v>
      </c>
      <c r="K237" s="2" t="s">
        <v>40</v>
      </c>
      <c r="L237" s="2" t="s">
        <v>27</v>
      </c>
      <c r="M237" s="3">
        <v>44876</v>
      </c>
      <c r="N237" s="6">
        <v>2699.97</v>
      </c>
      <c r="O237" s="4">
        <f t="shared" ca="1" si="9"/>
        <v>46283</v>
      </c>
      <c r="P237" s="5">
        <f t="shared" ca="1" si="10"/>
        <v>46283.764101967594</v>
      </c>
      <c r="Q237" s="13">
        <f t="shared" ca="1" si="11"/>
        <v>3</v>
      </c>
    </row>
    <row r="238" spans="1:17" x14ac:dyDescent="0.25">
      <c r="A238" s="2" t="s">
        <v>383</v>
      </c>
      <c r="B238" s="3">
        <v>45737</v>
      </c>
      <c r="C238" s="2" t="s">
        <v>48</v>
      </c>
      <c r="D238" s="2" t="s">
        <v>49</v>
      </c>
      <c r="E238" s="2" t="s">
        <v>61</v>
      </c>
      <c r="F238" s="2" t="s">
        <v>62</v>
      </c>
      <c r="G238" s="2" t="s">
        <v>19</v>
      </c>
      <c r="H238" s="2">
        <v>3</v>
      </c>
      <c r="I238" s="7">
        <v>899.99</v>
      </c>
      <c r="J238" s="2" t="s">
        <v>34</v>
      </c>
      <c r="K238" s="2" t="s">
        <v>40</v>
      </c>
      <c r="L238" s="2" t="s">
        <v>22</v>
      </c>
      <c r="M238" s="3">
        <v>44975</v>
      </c>
      <c r="N238" s="6">
        <v>2699.97</v>
      </c>
      <c r="O238" s="4">
        <f t="shared" ca="1" si="9"/>
        <v>46283</v>
      </c>
      <c r="P238" s="5">
        <f t="shared" ca="1" si="10"/>
        <v>46283.764101967594</v>
      </c>
      <c r="Q238" s="13">
        <f t="shared" ca="1" si="11"/>
        <v>3</v>
      </c>
    </row>
    <row r="239" spans="1:17" x14ac:dyDescent="0.25">
      <c r="A239" s="2" t="s">
        <v>384</v>
      </c>
      <c r="B239" s="3">
        <v>45739</v>
      </c>
      <c r="C239" s="2" t="s">
        <v>15</v>
      </c>
      <c r="D239" s="2" t="s">
        <v>16</v>
      </c>
      <c r="E239" s="2" t="s">
        <v>105</v>
      </c>
      <c r="F239" s="2" t="s">
        <v>106</v>
      </c>
      <c r="G239" s="2" t="s">
        <v>46</v>
      </c>
      <c r="H239" s="2">
        <v>3</v>
      </c>
      <c r="I239" s="7">
        <v>299.99</v>
      </c>
      <c r="J239" s="2" t="s">
        <v>26</v>
      </c>
      <c r="K239" s="2" t="s">
        <v>50</v>
      </c>
      <c r="L239" s="2" t="s">
        <v>27</v>
      </c>
      <c r="M239" s="3">
        <v>45234</v>
      </c>
      <c r="N239" s="6">
        <v>899.97</v>
      </c>
      <c r="O239" s="4">
        <f t="shared" ca="1" si="9"/>
        <v>46283</v>
      </c>
      <c r="P239" s="5">
        <f t="shared" ca="1" si="10"/>
        <v>46283.764101967594</v>
      </c>
      <c r="Q239" s="13">
        <f t="shared" ca="1" si="11"/>
        <v>2</v>
      </c>
    </row>
    <row r="240" spans="1:17" x14ac:dyDescent="0.25">
      <c r="A240" s="2" t="s">
        <v>385</v>
      </c>
      <c r="B240" s="3">
        <v>45740</v>
      </c>
      <c r="C240" s="2" t="s">
        <v>386</v>
      </c>
      <c r="D240" s="2" t="s">
        <v>387</v>
      </c>
      <c r="E240" s="2" t="s">
        <v>44</v>
      </c>
      <c r="F240" s="2" t="s">
        <v>45</v>
      </c>
      <c r="G240" s="2" t="s">
        <v>46</v>
      </c>
      <c r="H240" s="2">
        <v>4</v>
      </c>
      <c r="I240" s="7">
        <v>149.99</v>
      </c>
      <c r="J240" s="2" t="s">
        <v>34</v>
      </c>
      <c r="K240" s="2" t="s">
        <v>50</v>
      </c>
      <c r="L240" s="2" t="s">
        <v>36</v>
      </c>
      <c r="M240" s="3">
        <v>44560</v>
      </c>
      <c r="N240" s="6">
        <v>599.96</v>
      </c>
      <c r="O240" s="4">
        <f t="shared" ca="1" si="9"/>
        <v>46283</v>
      </c>
      <c r="P240" s="5">
        <f t="shared" ca="1" si="10"/>
        <v>46283.764101967594</v>
      </c>
      <c r="Q240" s="13">
        <f t="shared" ca="1" si="11"/>
        <v>4</v>
      </c>
    </row>
    <row r="241" spans="1:17" x14ac:dyDescent="0.25">
      <c r="A241" s="2" t="s">
        <v>388</v>
      </c>
      <c r="B241" s="3">
        <v>45743</v>
      </c>
      <c r="C241" s="2" t="s">
        <v>102</v>
      </c>
      <c r="D241" s="2" t="s">
        <v>103</v>
      </c>
      <c r="E241" s="2" t="s">
        <v>114</v>
      </c>
      <c r="F241" s="2" t="s">
        <v>115</v>
      </c>
      <c r="G241" s="2" t="s">
        <v>33</v>
      </c>
      <c r="H241" s="2">
        <v>4</v>
      </c>
      <c r="I241" s="7">
        <v>79.989999999999995</v>
      </c>
      <c r="J241" s="2" t="s">
        <v>26</v>
      </c>
      <c r="K241" s="2" t="s">
        <v>21</v>
      </c>
      <c r="L241" s="2" t="s">
        <v>22</v>
      </c>
      <c r="M241" s="3">
        <v>45288</v>
      </c>
      <c r="N241" s="6">
        <v>319.95999999999998</v>
      </c>
      <c r="O241" s="4">
        <f t="shared" ca="1" si="9"/>
        <v>46283</v>
      </c>
      <c r="P241" s="5">
        <f t="shared" ca="1" si="10"/>
        <v>46283.764101967594</v>
      </c>
      <c r="Q241" s="13">
        <f t="shared" ca="1" si="11"/>
        <v>2</v>
      </c>
    </row>
    <row r="242" spans="1:17" x14ac:dyDescent="0.25">
      <c r="A242" s="2" t="s">
        <v>389</v>
      </c>
      <c r="B242" s="3">
        <v>45745</v>
      </c>
      <c r="C242" s="2" t="s">
        <v>185</v>
      </c>
      <c r="D242" s="2" t="s">
        <v>186</v>
      </c>
      <c r="E242" s="2" t="s">
        <v>117</v>
      </c>
      <c r="F242" s="2" t="s">
        <v>118</v>
      </c>
      <c r="G242" s="2" t="s">
        <v>19</v>
      </c>
      <c r="H242" s="2">
        <v>5</v>
      </c>
      <c r="I242" s="7">
        <v>89.99</v>
      </c>
      <c r="J242" s="2" t="s">
        <v>34</v>
      </c>
      <c r="K242" s="2" t="s">
        <v>35</v>
      </c>
      <c r="L242" s="2" t="s">
        <v>22</v>
      </c>
      <c r="M242" s="3">
        <v>44704</v>
      </c>
      <c r="N242" s="6">
        <v>449.95</v>
      </c>
      <c r="O242" s="4">
        <f t="shared" ca="1" si="9"/>
        <v>46283</v>
      </c>
      <c r="P242" s="5">
        <f t="shared" ca="1" si="10"/>
        <v>46283.764101967594</v>
      </c>
      <c r="Q242" s="13">
        <f t="shared" ca="1" si="11"/>
        <v>4</v>
      </c>
    </row>
    <row r="243" spans="1:17" x14ac:dyDescent="0.25">
      <c r="A243" s="2" t="s">
        <v>390</v>
      </c>
      <c r="B243" s="3">
        <v>45746</v>
      </c>
      <c r="C243" s="2" t="s">
        <v>93</v>
      </c>
      <c r="D243" s="2" t="s">
        <v>94</v>
      </c>
      <c r="E243" s="2" t="s">
        <v>44</v>
      </c>
      <c r="F243" s="2" t="s">
        <v>45</v>
      </c>
      <c r="G243" s="2" t="s">
        <v>46</v>
      </c>
      <c r="H243" s="2">
        <v>3</v>
      </c>
      <c r="I243" s="7">
        <v>149.99</v>
      </c>
      <c r="J243" s="2" t="s">
        <v>34</v>
      </c>
      <c r="K243" s="2" t="s">
        <v>21</v>
      </c>
      <c r="L243" s="2" t="s">
        <v>36</v>
      </c>
      <c r="M243" s="3">
        <v>45171</v>
      </c>
      <c r="N243" s="6">
        <v>449.97</v>
      </c>
      <c r="O243" s="4">
        <f t="shared" ca="1" si="9"/>
        <v>46283</v>
      </c>
      <c r="P243" s="5">
        <f t="shared" ca="1" si="10"/>
        <v>46283.764101967594</v>
      </c>
      <c r="Q243" s="13">
        <f t="shared" ca="1" si="11"/>
        <v>3</v>
      </c>
    </row>
    <row r="244" spans="1:17" x14ac:dyDescent="0.25">
      <c r="A244" s="2" t="s">
        <v>391</v>
      </c>
      <c r="B244" s="3">
        <v>45746</v>
      </c>
      <c r="C244" s="2" t="s">
        <v>65</v>
      </c>
      <c r="D244" s="2" t="s">
        <v>66</v>
      </c>
      <c r="E244" s="2" t="s">
        <v>117</v>
      </c>
      <c r="F244" s="2" t="s">
        <v>118</v>
      </c>
      <c r="G244" s="2" t="s">
        <v>19</v>
      </c>
      <c r="H244" s="2">
        <v>2</v>
      </c>
      <c r="I244" s="7">
        <v>89.99</v>
      </c>
      <c r="J244" s="2" t="s">
        <v>57</v>
      </c>
      <c r="K244" s="2" t="s">
        <v>50</v>
      </c>
      <c r="L244" s="2" t="s">
        <v>27</v>
      </c>
      <c r="M244" s="3">
        <v>44522</v>
      </c>
      <c r="N244" s="6">
        <v>179.98</v>
      </c>
      <c r="O244" s="4">
        <f t="shared" ca="1" si="9"/>
        <v>46283</v>
      </c>
      <c r="P244" s="5">
        <f t="shared" ca="1" si="10"/>
        <v>46283.764101967594</v>
      </c>
      <c r="Q244" s="13">
        <f t="shared" ca="1" si="11"/>
        <v>4</v>
      </c>
    </row>
    <row r="245" spans="1:17" x14ac:dyDescent="0.25">
      <c r="A245" s="2" t="s">
        <v>392</v>
      </c>
      <c r="B245" s="3">
        <v>45748</v>
      </c>
      <c r="C245" s="2" t="s">
        <v>102</v>
      </c>
      <c r="D245" s="2" t="s">
        <v>103</v>
      </c>
      <c r="E245" s="2" t="s">
        <v>80</v>
      </c>
      <c r="F245" s="2" t="s">
        <v>81</v>
      </c>
      <c r="G245" s="2" t="s">
        <v>19</v>
      </c>
      <c r="H245" s="2">
        <v>2</v>
      </c>
      <c r="I245" s="7">
        <v>699.99</v>
      </c>
      <c r="J245" s="2" t="s">
        <v>34</v>
      </c>
      <c r="K245" s="2" t="s">
        <v>40</v>
      </c>
      <c r="L245" s="2" t="s">
        <v>36</v>
      </c>
      <c r="M245" s="3">
        <v>44618</v>
      </c>
      <c r="N245" s="6">
        <v>1399.98</v>
      </c>
      <c r="O245" s="4">
        <f t="shared" ca="1" si="9"/>
        <v>46283</v>
      </c>
      <c r="P245" s="5">
        <f t="shared" ca="1" si="10"/>
        <v>46283.764101967594</v>
      </c>
      <c r="Q245" s="13">
        <f t="shared" ca="1" si="11"/>
        <v>4</v>
      </c>
    </row>
    <row r="246" spans="1:17" x14ac:dyDescent="0.25">
      <c r="A246" s="2" t="s">
        <v>393</v>
      </c>
      <c r="B246" s="3">
        <v>45749</v>
      </c>
      <c r="C246" s="2" t="s">
        <v>123</v>
      </c>
      <c r="D246" s="2" t="s">
        <v>124</v>
      </c>
      <c r="E246" s="2" t="s">
        <v>61</v>
      </c>
      <c r="F246" s="2" t="s">
        <v>62</v>
      </c>
      <c r="G246" s="2" t="s">
        <v>19</v>
      </c>
      <c r="H246" s="2">
        <v>3</v>
      </c>
      <c r="I246" s="7">
        <v>899.99</v>
      </c>
      <c r="J246" s="2" t="s">
        <v>20</v>
      </c>
      <c r="K246" s="2" t="s">
        <v>21</v>
      </c>
      <c r="L246" s="2" t="s">
        <v>36</v>
      </c>
      <c r="M246" s="3">
        <v>44953</v>
      </c>
      <c r="N246" s="6">
        <v>2699.97</v>
      </c>
      <c r="O246" s="4">
        <f t="shared" ca="1" si="9"/>
        <v>46283</v>
      </c>
      <c r="P246" s="5">
        <f t="shared" ca="1" si="10"/>
        <v>46283.764101967594</v>
      </c>
      <c r="Q246" s="13">
        <f t="shared" ca="1" si="11"/>
        <v>3</v>
      </c>
    </row>
    <row r="247" spans="1:17" x14ac:dyDescent="0.25">
      <c r="A247" s="2" t="s">
        <v>394</v>
      </c>
      <c r="B247" s="3">
        <v>45755</v>
      </c>
      <c r="C247" s="2" t="s">
        <v>93</v>
      </c>
      <c r="D247" s="2" t="s">
        <v>94</v>
      </c>
      <c r="E247" s="2" t="s">
        <v>114</v>
      </c>
      <c r="F247" s="2" t="s">
        <v>115</v>
      </c>
      <c r="G247" s="2" t="s">
        <v>33</v>
      </c>
      <c r="H247" s="2">
        <v>3</v>
      </c>
      <c r="I247" s="7">
        <v>79.989999999999995</v>
      </c>
      <c r="J247" s="2" t="s">
        <v>26</v>
      </c>
      <c r="K247" s="2" t="s">
        <v>40</v>
      </c>
      <c r="L247" s="2" t="s">
        <v>22</v>
      </c>
      <c r="M247" s="3">
        <v>44511</v>
      </c>
      <c r="N247" s="6">
        <v>239.97</v>
      </c>
      <c r="O247" s="4">
        <f t="shared" ca="1" si="9"/>
        <v>46283</v>
      </c>
      <c r="P247" s="5">
        <f t="shared" ca="1" si="10"/>
        <v>46283.764101967594</v>
      </c>
      <c r="Q247" s="13">
        <f t="shared" ca="1" si="11"/>
        <v>4</v>
      </c>
    </row>
    <row r="248" spans="1:17" x14ac:dyDescent="0.25">
      <c r="A248" s="2" t="s">
        <v>395</v>
      </c>
      <c r="B248" s="3">
        <v>45756</v>
      </c>
      <c r="C248" s="2" t="s">
        <v>59</v>
      </c>
      <c r="D248" s="2" t="s">
        <v>60</v>
      </c>
      <c r="E248" s="2" t="s">
        <v>117</v>
      </c>
      <c r="F248" s="2" t="s">
        <v>118</v>
      </c>
      <c r="G248" s="2" t="s">
        <v>19</v>
      </c>
      <c r="H248" s="2">
        <v>1</v>
      </c>
      <c r="I248" s="7">
        <v>89.99</v>
      </c>
      <c r="J248" s="2" t="s">
        <v>57</v>
      </c>
      <c r="K248" s="2" t="s">
        <v>63</v>
      </c>
      <c r="L248" s="2" t="s">
        <v>22</v>
      </c>
      <c r="M248" s="3">
        <v>45346</v>
      </c>
      <c r="N248" s="6">
        <v>89.99</v>
      </c>
      <c r="O248" s="4">
        <f t="shared" ca="1" si="9"/>
        <v>46283</v>
      </c>
      <c r="P248" s="5">
        <f t="shared" ca="1" si="10"/>
        <v>46283.764101967594</v>
      </c>
      <c r="Q248" s="13">
        <f t="shared" ca="1" si="11"/>
        <v>2</v>
      </c>
    </row>
    <row r="249" spans="1:17" x14ac:dyDescent="0.25">
      <c r="A249" s="2" t="s">
        <v>396</v>
      </c>
      <c r="B249" s="3">
        <v>45758</v>
      </c>
      <c r="C249" s="2" t="s">
        <v>293</v>
      </c>
      <c r="D249" s="2" t="s">
        <v>294</v>
      </c>
      <c r="E249" s="2" t="s">
        <v>80</v>
      </c>
      <c r="F249" s="2" t="s">
        <v>81</v>
      </c>
      <c r="G249" s="2" t="s">
        <v>19</v>
      </c>
      <c r="H249" s="2">
        <v>3</v>
      </c>
      <c r="I249" s="7">
        <v>699.99</v>
      </c>
      <c r="J249" s="2" t="s">
        <v>34</v>
      </c>
      <c r="K249" s="2" t="s">
        <v>40</v>
      </c>
      <c r="L249" s="2" t="s">
        <v>22</v>
      </c>
      <c r="M249" s="3">
        <v>44909</v>
      </c>
      <c r="N249" s="6">
        <v>2099.9699999999998</v>
      </c>
      <c r="O249" s="4">
        <f t="shared" ca="1" si="9"/>
        <v>46283</v>
      </c>
      <c r="P249" s="5">
        <f t="shared" ca="1" si="10"/>
        <v>46283.764101967594</v>
      </c>
      <c r="Q249" s="13">
        <f t="shared" ca="1" si="11"/>
        <v>3</v>
      </c>
    </row>
    <row r="250" spans="1:17" x14ac:dyDescent="0.25">
      <c r="A250" s="2" t="s">
        <v>397</v>
      </c>
      <c r="B250" s="3">
        <v>45758</v>
      </c>
      <c r="C250" s="2" t="s">
        <v>226</v>
      </c>
      <c r="D250" s="2" t="s">
        <v>227</v>
      </c>
      <c r="E250" s="2" t="s">
        <v>117</v>
      </c>
      <c r="F250" s="2" t="s">
        <v>118</v>
      </c>
      <c r="G250" s="2" t="s">
        <v>19</v>
      </c>
      <c r="H250" s="2">
        <v>2</v>
      </c>
      <c r="I250" s="7">
        <v>89.99</v>
      </c>
      <c r="J250" s="2" t="s">
        <v>57</v>
      </c>
      <c r="K250" s="2" t="s">
        <v>63</v>
      </c>
      <c r="L250" s="2" t="s">
        <v>22</v>
      </c>
      <c r="M250" s="3">
        <v>45088</v>
      </c>
      <c r="N250" s="6">
        <v>179.98</v>
      </c>
      <c r="O250" s="4">
        <f t="shared" ca="1" si="9"/>
        <v>46283</v>
      </c>
      <c r="P250" s="5">
        <f t="shared" ca="1" si="10"/>
        <v>46283.764101967594</v>
      </c>
      <c r="Q250" s="13">
        <f t="shared" ca="1" si="11"/>
        <v>3</v>
      </c>
    </row>
    <row r="251" spans="1:17" x14ac:dyDescent="0.25">
      <c r="A251" s="2" t="s">
        <v>398</v>
      </c>
      <c r="B251" s="3">
        <v>45758</v>
      </c>
      <c r="C251" s="2" t="s">
        <v>138</v>
      </c>
      <c r="D251" s="2" t="s">
        <v>139</v>
      </c>
      <c r="E251" s="2" t="s">
        <v>117</v>
      </c>
      <c r="F251" s="2" t="s">
        <v>118</v>
      </c>
      <c r="G251" s="2" t="s">
        <v>19</v>
      </c>
      <c r="H251" s="2">
        <v>3</v>
      </c>
      <c r="I251" s="7">
        <v>89.99</v>
      </c>
      <c r="J251" s="2" t="s">
        <v>57</v>
      </c>
      <c r="K251" s="2" t="s">
        <v>40</v>
      </c>
      <c r="L251" s="2" t="s">
        <v>27</v>
      </c>
      <c r="M251" s="3">
        <v>44878</v>
      </c>
      <c r="N251" s="6">
        <v>269.97000000000003</v>
      </c>
      <c r="O251" s="4">
        <f t="shared" ca="1" si="9"/>
        <v>46283</v>
      </c>
      <c r="P251" s="5">
        <f t="shared" ca="1" si="10"/>
        <v>46283.764101967594</v>
      </c>
      <c r="Q251" s="13">
        <f t="shared" ca="1" si="11"/>
        <v>3</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B5F053D5-98EF-4584-90D4-B078902288B9}">
            <x14:iconSet iconSet="3Stars">
              <x14:cfvo type="percent">
                <xm:f>0</xm:f>
              </x14:cfvo>
              <x14:cfvo type="percent">
                <xm:f>33</xm:f>
              </x14:cfvo>
              <x14:cfvo type="percent">
                <xm:f>67</xm:f>
              </x14:cfvo>
            </x14:iconSet>
          </x14:cfRule>
          <xm:sqref>N2:N251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B54BC-5CB8-4256-B825-18F119B6B989}">
  <dimension ref="A1:AE53"/>
  <sheetViews>
    <sheetView zoomScale="97" workbookViewId="0">
      <selection activeCell="H28" sqref="H24:M41"/>
    </sheetView>
  </sheetViews>
  <sheetFormatPr defaultRowHeight="15" x14ac:dyDescent="0.25"/>
  <cols>
    <col min="1" max="1" width="22.5703125" bestFit="1" customWidth="1"/>
    <col min="2" max="2" width="10.7109375" bestFit="1" customWidth="1"/>
    <col min="3" max="3" width="10.5703125" bestFit="1" customWidth="1"/>
    <col min="4" max="4" width="9.28515625" bestFit="1" customWidth="1"/>
    <col min="5" max="5" width="11.28515625" bestFit="1" customWidth="1"/>
    <col min="6" max="6" width="13.5703125" bestFit="1" customWidth="1"/>
    <col min="7" max="7" width="29.85546875" bestFit="1" customWidth="1"/>
    <col min="8" max="8" width="25.5703125" bestFit="1" customWidth="1"/>
    <col min="9" max="9" width="5.140625" bestFit="1" customWidth="1"/>
    <col min="10" max="10" width="10.85546875" bestFit="1" customWidth="1"/>
    <col min="11" max="11" width="10.42578125" bestFit="1" customWidth="1"/>
    <col min="12" max="12" width="13.140625" bestFit="1" customWidth="1"/>
    <col min="13" max="13" width="20.42578125" bestFit="1" customWidth="1"/>
    <col min="14" max="17" width="5.5703125" bestFit="1" customWidth="1"/>
    <col min="18" max="18" width="11.42578125" bestFit="1" customWidth="1"/>
    <col min="19" max="19" width="8.7109375" customWidth="1"/>
    <col min="20" max="20" width="22.5703125" bestFit="1" customWidth="1"/>
    <col min="21" max="21" width="10" bestFit="1" customWidth="1"/>
    <col min="22" max="22" width="13.42578125" bestFit="1" customWidth="1"/>
    <col min="23" max="23" width="5.42578125" bestFit="1" customWidth="1"/>
    <col min="24" max="25" width="12.28515625" bestFit="1" customWidth="1"/>
    <col min="26" max="26" width="9.5703125" bestFit="1" customWidth="1"/>
    <col min="27" max="27" width="7.140625" bestFit="1" customWidth="1"/>
    <col min="28" max="28" width="8.28515625" bestFit="1" customWidth="1"/>
    <col min="29" max="29" width="11.42578125" bestFit="1" customWidth="1"/>
    <col min="30" max="30" width="11.85546875" bestFit="1" customWidth="1"/>
    <col min="31" max="31" width="11.28515625" bestFit="1" customWidth="1"/>
  </cols>
  <sheetData>
    <row r="1" spans="1:31" x14ac:dyDescent="0.25">
      <c r="T1" s="18" t="s">
        <v>432</v>
      </c>
      <c r="U1" s="13"/>
      <c r="V1" s="13"/>
      <c r="W1" s="13"/>
      <c r="X1" s="13"/>
      <c r="Y1" s="13"/>
      <c r="Z1" s="13"/>
      <c r="AA1" s="13"/>
      <c r="AB1" s="13"/>
      <c r="AC1" s="13"/>
      <c r="AD1" s="13"/>
      <c r="AE1" s="13"/>
    </row>
    <row r="2" spans="1:31" x14ac:dyDescent="0.25">
      <c r="A2" s="15" t="s">
        <v>432</v>
      </c>
      <c r="B2" s="14"/>
      <c r="C2" s="14"/>
      <c r="D2" s="14"/>
      <c r="E2" s="14"/>
      <c r="G2" s="13"/>
      <c r="H2" s="13" t="s">
        <v>61</v>
      </c>
      <c r="I2" s="13" t="s">
        <v>80</v>
      </c>
      <c r="J2" s="13" t="s">
        <v>52</v>
      </c>
      <c r="K2" s="13" t="s">
        <v>114</v>
      </c>
      <c r="L2" s="13" t="s">
        <v>31</v>
      </c>
      <c r="M2" s="13" t="s">
        <v>126</v>
      </c>
      <c r="N2" s="13" t="s">
        <v>105</v>
      </c>
      <c r="O2" s="13" t="s">
        <v>44</v>
      </c>
      <c r="P2" s="13" t="s">
        <v>17</v>
      </c>
      <c r="Q2" s="13" t="s">
        <v>117</v>
      </c>
      <c r="R2" s="13" t="s">
        <v>431</v>
      </c>
      <c r="T2" s="13"/>
      <c r="U2" s="13" t="s">
        <v>32</v>
      </c>
      <c r="V2" s="13" t="s">
        <v>45</v>
      </c>
      <c r="W2" s="13" t="s">
        <v>115</v>
      </c>
      <c r="X2" s="13" t="s">
        <v>106</v>
      </c>
      <c r="Y2" s="13" t="s">
        <v>53</v>
      </c>
      <c r="Z2" s="13" t="s">
        <v>118</v>
      </c>
      <c r="AA2" s="13" t="s">
        <v>62</v>
      </c>
      <c r="AB2" s="13" t="s">
        <v>18</v>
      </c>
      <c r="AC2" s="13" t="s">
        <v>127</v>
      </c>
      <c r="AD2" s="13" t="s">
        <v>81</v>
      </c>
      <c r="AE2" s="13" t="s">
        <v>431</v>
      </c>
    </row>
    <row r="3" spans="1:31" x14ac:dyDescent="0.25">
      <c r="A3" s="14"/>
      <c r="B3" s="14" t="s">
        <v>33</v>
      </c>
      <c r="C3" s="14" t="s">
        <v>19</v>
      </c>
      <c r="D3" s="14" t="s">
        <v>46</v>
      </c>
      <c r="E3" s="14" t="s">
        <v>431</v>
      </c>
      <c r="G3" s="13" t="s">
        <v>447</v>
      </c>
      <c r="H3" s="13">
        <v>24</v>
      </c>
      <c r="I3" s="13">
        <v>31</v>
      </c>
      <c r="J3" s="13">
        <v>16</v>
      </c>
      <c r="K3" s="13">
        <v>14</v>
      </c>
      <c r="L3" s="13">
        <v>29</v>
      </c>
      <c r="M3" s="13">
        <v>15</v>
      </c>
      <c r="N3" s="13">
        <v>26</v>
      </c>
      <c r="O3" s="13">
        <v>35</v>
      </c>
      <c r="P3" s="13">
        <v>26</v>
      </c>
      <c r="Q3" s="13">
        <v>34</v>
      </c>
      <c r="R3" s="13">
        <v>250</v>
      </c>
      <c r="T3" s="13" t="s">
        <v>386</v>
      </c>
      <c r="U3" s="13"/>
      <c r="V3" s="13">
        <v>1</v>
      </c>
      <c r="W3" s="13"/>
      <c r="X3" s="13"/>
      <c r="Y3" s="13"/>
      <c r="Z3" s="13"/>
      <c r="AA3" s="13"/>
      <c r="AB3" s="13"/>
      <c r="AC3" s="13"/>
      <c r="AD3" s="13"/>
      <c r="AE3" s="13">
        <v>1</v>
      </c>
    </row>
    <row r="4" spans="1:31" x14ac:dyDescent="0.25">
      <c r="A4" s="16" t="s">
        <v>433</v>
      </c>
      <c r="B4" s="33">
        <v>32</v>
      </c>
      <c r="C4" s="33">
        <v>95</v>
      </c>
      <c r="D4" s="33">
        <v>51</v>
      </c>
      <c r="E4" s="33">
        <v>178</v>
      </c>
      <c r="T4" s="13" t="s">
        <v>132</v>
      </c>
      <c r="U4" s="13">
        <v>2</v>
      </c>
      <c r="V4" s="13">
        <v>2</v>
      </c>
      <c r="W4" s="13"/>
      <c r="X4" s="13"/>
      <c r="Y4" s="13"/>
      <c r="Z4" s="13">
        <v>1</v>
      </c>
      <c r="AA4" s="13"/>
      <c r="AB4" s="13"/>
      <c r="AC4" s="13"/>
      <c r="AD4" s="13"/>
      <c r="AE4" s="13">
        <v>5</v>
      </c>
    </row>
    <row r="5" spans="1:31" x14ac:dyDescent="0.25">
      <c r="A5" s="17" t="s">
        <v>435</v>
      </c>
      <c r="B5" s="33">
        <v>6</v>
      </c>
      <c r="C5" s="33">
        <v>10</v>
      </c>
      <c r="D5" s="33">
        <v>5</v>
      </c>
      <c r="E5" s="33">
        <v>21</v>
      </c>
      <c r="T5" s="13" t="s">
        <v>42</v>
      </c>
      <c r="U5" s="13"/>
      <c r="V5" s="13">
        <v>4</v>
      </c>
      <c r="W5" s="13"/>
      <c r="X5" s="13">
        <v>3</v>
      </c>
      <c r="Y5" s="13"/>
      <c r="Z5" s="13">
        <v>1</v>
      </c>
      <c r="AA5" s="13"/>
      <c r="AB5" s="13"/>
      <c r="AC5" s="13"/>
      <c r="AD5" s="13">
        <v>1</v>
      </c>
      <c r="AE5" s="13">
        <v>9</v>
      </c>
    </row>
    <row r="6" spans="1:31" x14ac:dyDescent="0.25">
      <c r="A6" s="17" t="s">
        <v>436</v>
      </c>
      <c r="B6" s="33">
        <v>5</v>
      </c>
      <c r="C6" s="33">
        <v>7</v>
      </c>
      <c r="D6" s="33">
        <v>7</v>
      </c>
      <c r="E6" s="33">
        <v>19</v>
      </c>
      <c r="G6" s="13"/>
      <c r="H6" s="13">
        <v>2</v>
      </c>
      <c r="I6" s="13">
        <v>3</v>
      </c>
      <c r="J6" s="13">
        <v>4</v>
      </c>
      <c r="K6" s="13">
        <v>5</v>
      </c>
      <c r="L6" s="13" t="s">
        <v>431</v>
      </c>
      <c r="T6" s="13" t="s">
        <v>154</v>
      </c>
      <c r="U6" s="13"/>
      <c r="V6" s="13">
        <v>1</v>
      </c>
      <c r="W6" s="13"/>
      <c r="X6" s="13"/>
      <c r="Y6" s="13"/>
      <c r="Z6" s="13">
        <v>1</v>
      </c>
      <c r="AA6" s="13"/>
      <c r="AB6" s="13"/>
      <c r="AC6" s="13">
        <v>1</v>
      </c>
      <c r="AD6" s="13">
        <v>2</v>
      </c>
      <c r="AE6" s="13">
        <v>5</v>
      </c>
    </row>
    <row r="7" spans="1:31" x14ac:dyDescent="0.25">
      <c r="A7" s="17" t="s">
        <v>437</v>
      </c>
      <c r="B7" s="33">
        <v>4</v>
      </c>
      <c r="C7" s="33">
        <v>12</v>
      </c>
      <c r="D7" s="33">
        <v>3</v>
      </c>
      <c r="E7" s="33">
        <v>19</v>
      </c>
      <c r="G7" s="13" t="s">
        <v>448</v>
      </c>
      <c r="H7" s="13">
        <v>100</v>
      </c>
      <c r="I7" s="13">
        <v>249</v>
      </c>
      <c r="J7" s="13">
        <v>388</v>
      </c>
      <c r="K7" s="13">
        <v>100</v>
      </c>
      <c r="L7" s="13">
        <v>837</v>
      </c>
      <c r="T7" s="13" t="s">
        <v>304</v>
      </c>
      <c r="U7" s="13">
        <v>1</v>
      </c>
      <c r="V7" s="13"/>
      <c r="W7" s="13"/>
      <c r="X7" s="13"/>
      <c r="Y7" s="13"/>
      <c r="Z7" s="13"/>
      <c r="AA7" s="13"/>
      <c r="AB7" s="13"/>
      <c r="AC7" s="13"/>
      <c r="AD7" s="13"/>
      <c r="AE7" s="13">
        <v>1</v>
      </c>
    </row>
    <row r="8" spans="1:31" x14ac:dyDescent="0.25">
      <c r="A8" s="17" t="s">
        <v>438</v>
      </c>
      <c r="B8" s="33">
        <v>4</v>
      </c>
      <c r="C8" s="33">
        <v>13</v>
      </c>
      <c r="D8" s="33">
        <v>7</v>
      </c>
      <c r="E8" s="33">
        <v>24</v>
      </c>
      <c r="T8" s="13" t="s">
        <v>129</v>
      </c>
      <c r="U8" s="13">
        <v>1</v>
      </c>
      <c r="V8" s="13">
        <v>1</v>
      </c>
      <c r="W8" s="13">
        <v>1</v>
      </c>
      <c r="X8" s="13"/>
      <c r="Y8" s="13">
        <v>1</v>
      </c>
      <c r="Z8" s="13">
        <v>1</v>
      </c>
      <c r="AA8" s="13"/>
      <c r="AB8" s="13"/>
      <c r="AC8" s="13"/>
      <c r="AD8" s="13"/>
      <c r="AE8" s="13">
        <v>5</v>
      </c>
    </row>
    <row r="9" spans="1:31" x14ac:dyDescent="0.25">
      <c r="A9" s="17" t="s">
        <v>439</v>
      </c>
      <c r="B9" s="33">
        <v>1</v>
      </c>
      <c r="C9" s="33">
        <v>11</v>
      </c>
      <c r="D9" s="33">
        <v>6</v>
      </c>
      <c r="E9" s="33">
        <v>18</v>
      </c>
      <c r="G9" s="13"/>
      <c r="H9" s="13" t="s">
        <v>449</v>
      </c>
      <c r="T9" s="13" t="s">
        <v>182</v>
      </c>
      <c r="U9" s="13">
        <v>1</v>
      </c>
      <c r="V9" s="13">
        <v>2</v>
      </c>
      <c r="W9" s="13">
        <v>1</v>
      </c>
      <c r="X9" s="13"/>
      <c r="Y9" s="13">
        <v>1</v>
      </c>
      <c r="Z9" s="13">
        <v>1</v>
      </c>
      <c r="AA9" s="13"/>
      <c r="AB9" s="13"/>
      <c r="AC9" s="13"/>
      <c r="AD9" s="13"/>
      <c r="AE9" s="13">
        <v>6</v>
      </c>
    </row>
    <row r="10" spans="1:31" x14ac:dyDescent="0.25">
      <c r="A10" s="17" t="s">
        <v>440</v>
      </c>
      <c r="B10" s="33">
        <v>4</v>
      </c>
      <c r="C10" s="33">
        <v>10</v>
      </c>
      <c r="D10" s="33">
        <v>5</v>
      </c>
      <c r="E10" s="33">
        <v>19</v>
      </c>
      <c r="G10" s="13" t="s">
        <v>32</v>
      </c>
      <c r="H10" s="13">
        <v>87</v>
      </c>
      <c r="L10" s="13"/>
      <c r="M10" s="13" t="s">
        <v>450</v>
      </c>
      <c r="T10" s="13" t="s">
        <v>141</v>
      </c>
      <c r="U10" s="13"/>
      <c r="V10" s="13"/>
      <c r="W10" s="13">
        <v>2</v>
      </c>
      <c r="X10" s="13">
        <v>1</v>
      </c>
      <c r="Y10" s="13"/>
      <c r="Z10" s="13"/>
      <c r="AA10" s="13"/>
      <c r="AB10" s="13"/>
      <c r="AC10" s="13"/>
      <c r="AD10" s="13">
        <v>1</v>
      </c>
      <c r="AE10" s="13">
        <v>4</v>
      </c>
    </row>
    <row r="11" spans="1:31" x14ac:dyDescent="0.25">
      <c r="A11" s="17" t="s">
        <v>441</v>
      </c>
      <c r="B11" s="33">
        <v>1</v>
      </c>
      <c r="C11" s="33">
        <v>12</v>
      </c>
      <c r="D11" s="33">
        <v>3</v>
      </c>
      <c r="E11" s="33">
        <v>16</v>
      </c>
      <c r="G11" s="13" t="s">
        <v>45</v>
      </c>
      <c r="H11" s="13">
        <v>102</v>
      </c>
      <c r="L11" s="13" t="s">
        <v>32</v>
      </c>
      <c r="M11" s="20">
        <v>5219.1299999999974</v>
      </c>
      <c r="T11" s="13" t="s">
        <v>59</v>
      </c>
      <c r="U11" s="13"/>
      <c r="V11" s="13">
        <v>1</v>
      </c>
      <c r="W11" s="13"/>
      <c r="X11" s="13"/>
      <c r="Y11" s="13"/>
      <c r="Z11" s="13">
        <v>3</v>
      </c>
      <c r="AA11" s="13">
        <v>1</v>
      </c>
      <c r="AB11" s="13"/>
      <c r="AC11" s="13"/>
      <c r="AD11" s="13"/>
      <c r="AE11" s="13">
        <v>5</v>
      </c>
    </row>
    <row r="12" spans="1:31" x14ac:dyDescent="0.25">
      <c r="A12" s="17" t="s">
        <v>442</v>
      </c>
      <c r="B12" s="33">
        <v>3</v>
      </c>
      <c r="C12" s="33">
        <v>8</v>
      </c>
      <c r="D12" s="33">
        <v>6</v>
      </c>
      <c r="E12" s="33">
        <v>17</v>
      </c>
      <c r="G12" s="13" t="s">
        <v>115</v>
      </c>
      <c r="H12" s="13">
        <v>39</v>
      </c>
      <c r="L12" s="13" t="s">
        <v>45</v>
      </c>
      <c r="M12" s="20">
        <v>15298.979999999994</v>
      </c>
      <c r="T12" s="13" t="s">
        <v>89</v>
      </c>
      <c r="U12" s="13">
        <v>1</v>
      </c>
      <c r="V12" s="13">
        <v>1</v>
      </c>
      <c r="W12" s="13"/>
      <c r="X12" s="13"/>
      <c r="Y12" s="13"/>
      <c r="Z12" s="13">
        <v>1</v>
      </c>
      <c r="AA12" s="13"/>
      <c r="AB12" s="13"/>
      <c r="AC12" s="13"/>
      <c r="AD12" s="13">
        <v>1</v>
      </c>
      <c r="AE12" s="13">
        <v>4</v>
      </c>
    </row>
    <row r="13" spans="1:31" x14ac:dyDescent="0.25">
      <c r="A13" s="17" t="s">
        <v>443</v>
      </c>
      <c r="B13" s="33">
        <v>4</v>
      </c>
      <c r="C13" s="33">
        <v>12</v>
      </c>
      <c r="D13" s="33">
        <v>9</v>
      </c>
      <c r="E13" s="33">
        <v>25</v>
      </c>
      <c r="G13" s="13" t="s">
        <v>106</v>
      </c>
      <c r="H13" s="13">
        <v>78</v>
      </c>
      <c r="L13" s="13" t="s">
        <v>115</v>
      </c>
      <c r="M13" s="20">
        <v>3119.6099999999992</v>
      </c>
      <c r="T13" s="13" t="s">
        <v>252</v>
      </c>
      <c r="U13" s="13"/>
      <c r="V13" s="13"/>
      <c r="W13" s="13"/>
      <c r="X13" s="13"/>
      <c r="Y13" s="13">
        <v>1</v>
      </c>
      <c r="Z13" s="13"/>
      <c r="AA13" s="13">
        <v>1</v>
      </c>
      <c r="AB13" s="13">
        <v>1</v>
      </c>
      <c r="AC13" s="13"/>
      <c r="AD13" s="13"/>
      <c r="AE13" s="13">
        <v>3</v>
      </c>
    </row>
    <row r="14" spans="1:31" x14ac:dyDescent="0.25">
      <c r="A14" s="16" t="s">
        <v>434</v>
      </c>
      <c r="B14" s="33">
        <v>11</v>
      </c>
      <c r="C14" s="33">
        <v>36</v>
      </c>
      <c r="D14" s="33">
        <v>25</v>
      </c>
      <c r="E14" s="33">
        <v>72</v>
      </c>
      <c r="G14" s="13" t="s">
        <v>53</v>
      </c>
      <c r="H14" s="13">
        <v>47</v>
      </c>
      <c r="L14" s="13" t="s">
        <v>106</v>
      </c>
      <c r="M14" s="20">
        <v>23399.22</v>
      </c>
      <c r="T14" s="13" t="s">
        <v>99</v>
      </c>
      <c r="U14" s="13"/>
      <c r="V14" s="13"/>
      <c r="W14" s="13"/>
      <c r="X14" s="13">
        <v>2</v>
      </c>
      <c r="Y14" s="13"/>
      <c r="Z14" s="13">
        <v>3</v>
      </c>
      <c r="AA14" s="13">
        <v>1</v>
      </c>
      <c r="AB14" s="13">
        <v>1</v>
      </c>
      <c r="AC14" s="13"/>
      <c r="AD14" s="13">
        <v>1</v>
      </c>
      <c r="AE14" s="13">
        <v>8</v>
      </c>
    </row>
    <row r="15" spans="1:31" x14ac:dyDescent="0.25">
      <c r="A15" s="17" t="s">
        <v>444</v>
      </c>
      <c r="B15" s="33">
        <v>3</v>
      </c>
      <c r="C15" s="33">
        <v>15</v>
      </c>
      <c r="D15" s="33">
        <v>8</v>
      </c>
      <c r="E15" s="33">
        <v>26</v>
      </c>
      <c r="G15" s="13" t="s">
        <v>118</v>
      </c>
      <c r="H15" s="13">
        <v>89</v>
      </c>
      <c r="L15" s="13" t="s">
        <v>53</v>
      </c>
      <c r="M15" s="20">
        <v>7049.5299999999988</v>
      </c>
      <c r="T15" s="13" t="s">
        <v>24</v>
      </c>
      <c r="U15" s="13"/>
      <c r="V15" s="13"/>
      <c r="W15" s="13"/>
      <c r="X15" s="13"/>
      <c r="Y15" s="13">
        <v>2</v>
      </c>
      <c r="Z15" s="13"/>
      <c r="AA15" s="13">
        <v>1</v>
      </c>
      <c r="AB15" s="13">
        <v>2</v>
      </c>
      <c r="AC15" s="13"/>
      <c r="AD15" s="13"/>
      <c r="AE15" s="13">
        <v>5</v>
      </c>
    </row>
    <row r="16" spans="1:31" x14ac:dyDescent="0.25">
      <c r="A16" s="17" t="s">
        <v>445</v>
      </c>
      <c r="B16" s="33">
        <v>4</v>
      </c>
      <c r="C16" s="33">
        <v>6</v>
      </c>
      <c r="D16" s="33">
        <v>10</v>
      </c>
      <c r="E16" s="33">
        <v>20</v>
      </c>
      <c r="G16" s="13" t="s">
        <v>62</v>
      </c>
      <c r="H16" s="13">
        <v>75</v>
      </c>
      <c r="L16" s="13" t="s">
        <v>118</v>
      </c>
      <c r="M16" s="20">
        <v>8009.1099999999969</v>
      </c>
      <c r="T16" s="13" t="s">
        <v>112</v>
      </c>
      <c r="U16" s="13"/>
      <c r="V16" s="13">
        <v>2</v>
      </c>
      <c r="W16" s="13">
        <v>1</v>
      </c>
      <c r="X16" s="13"/>
      <c r="Y16" s="13">
        <v>1</v>
      </c>
      <c r="Z16" s="13"/>
      <c r="AA16" s="13"/>
      <c r="AB16" s="13"/>
      <c r="AC16" s="13"/>
      <c r="AD16" s="13"/>
      <c r="AE16" s="13">
        <v>4</v>
      </c>
    </row>
    <row r="17" spans="1:31" x14ac:dyDescent="0.25">
      <c r="A17" s="17" t="s">
        <v>446</v>
      </c>
      <c r="B17" s="33">
        <v>3</v>
      </c>
      <c r="C17" s="33">
        <v>9</v>
      </c>
      <c r="D17" s="33">
        <v>7</v>
      </c>
      <c r="E17" s="33">
        <v>19</v>
      </c>
      <c r="G17" s="13" t="s">
        <v>18</v>
      </c>
      <c r="H17" s="13">
        <v>88</v>
      </c>
      <c r="L17" s="13" t="s">
        <v>62</v>
      </c>
      <c r="M17" s="20">
        <v>67499.25</v>
      </c>
      <c r="T17" s="13" t="s">
        <v>259</v>
      </c>
      <c r="U17" s="13">
        <v>1</v>
      </c>
      <c r="V17" s="13">
        <v>1</v>
      </c>
      <c r="W17" s="13"/>
      <c r="X17" s="13"/>
      <c r="Y17" s="13"/>
      <c r="Z17" s="13"/>
      <c r="AA17" s="13"/>
      <c r="AB17" s="13"/>
      <c r="AC17" s="13">
        <v>1</v>
      </c>
      <c r="AD17" s="13"/>
      <c r="AE17" s="13">
        <v>3</v>
      </c>
    </row>
    <row r="18" spans="1:31" x14ac:dyDescent="0.25">
      <c r="A18" s="17" t="s">
        <v>435</v>
      </c>
      <c r="B18" s="33">
        <v>1</v>
      </c>
      <c r="C18" s="33">
        <v>6</v>
      </c>
      <c r="D18" s="33"/>
      <c r="E18" s="33">
        <v>7</v>
      </c>
      <c r="G18" s="13" t="s">
        <v>127</v>
      </c>
      <c r="H18" s="13">
        <v>52</v>
      </c>
      <c r="L18" s="13" t="s">
        <v>18</v>
      </c>
      <c r="M18" s="20">
        <v>21999.119999999999</v>
      </c>
      <c r="T18" s="13" t="s">
        <v>211</v>
      </c>
      <c r="U18" s="13"/>
      <c r="V18" s="13">
        <v>1</v>
      </c>
      <c r="W18" s="13"/>
      <c r="X18" s="13">
        <v>1</v>
      </c>
      <c r="Y18" s="13"/>
      <c r="Z18" s="13">
        <v>1</v>
      </c>
      <c r="AA18" s="13"/>
      <c r="AB18" s="13"/>
      <c r="AC18" s="13"/>
      <c r="AD18" s="13">
        <v>1</v>
      </c>
      <c r="AE18" s="13">
        <v>4</v>
      </c>
    </row>
    <row r="19" spans="1:31" x14ac:dyDescent="0.25">
      <c r="A19" s="16" t="s">
        <v>431</v>
      </c>
      <c r="B19" s="33">
        <v>43</v>
      </c>
      <c r="C19" s="33">
        <v>131</v>
      </c>
      <c r="D19" s="33">
        <v>76</v>
      </c>
      <c r="E19" s="33">
        <v>250</v>
      </c>
      <c r="G19" s="13" t="s">
        <v>81</v>
      </c>
      <c r="H19" s="13">
        <v>96</v>
      </c>
      <c r="L19" s="13" t="s">
        <v>127</v>
      </c>
      <c r="M19" s="20">
        <v>10399.479999999998</v>
      </c>
      <c r="T19" s="13" t="s">
        <v>55</v>
      </c>
      <c r="U19" s="13">
        <v>1</v>
      </c>
      <c r="V19" s="13">
        <v>2</v>
      </c>
      <c r="W19" s="13">
        <v>1</v>
      </c>
      <c r="X19" s="13">
        <v>1</v>
      </c>
      <c r="Y19" s="13"/>
      <c r="Z19" s="13">
        <v>2</v>
      </c>
      <c r="AA19" s="13"/>
      <c r="AB19" s="13">
        <v>1</v>
      </c>
      <c r="AC19" s="13">
        <v>1</v>
      </c>
      <c r="AD19" s="13"/>
      <c r="AE19" s="13">
        <v>9</v>
      </c>
    </row>
    <row r="20" spans="1:31" x14ac:dyDescent="0.25">
      <c r="G20" s="13" t="s">
        <v>431</v>
      </c>
      <c r="H20" s="13">
        <v>753</v>
      </c>
      <c r="L20" s="13" t="s">
        <v>81</v>
      </c>
      <c r="M20" s="20">
        <v>67199.039999999994</v>
      </c>
      <c r="T20" s="13" t="s">
        <v>96</v>
      </c>
      <c r="U20" s="13"/>
      <c r="V20" s="13"/>
      <c r="W20" s="13"/>
      <c r="X20" s="13"/>
      <c r="Y20" s="13"/>
      <c r="Z20" s="13">
        <v>1</v>
      </c>
      <c r="AA20" s="13">
        <v>1</v>
      </c>
      <c r="AB20" s="13">
        <v>1</v>
      </c>
      <c r="AC20" s="13"/>
      <c r="AD20" s="13">
        <v>2</v>
      </c>
      <c r="AE20" s="13">
        <v>5</v>
      </c>
    </row>
    <row r="21" spans="1:31" x14ac:dyDescent="0.25">
      <c r="L21" s="13" t="s">
        <v>431</v>
      </c>
      <c r="M21" s="20">
        <v>229192.46999999997</v>
      </c>
      <c r="T21" s="13" t="s">
        <v>147</v>
      </c>
      <c r="U21" s="13"/>
      <c r="V21" s="13"/>
      <c r="W21" s="13">
        <v>1</v>
      </c>
      <c r="X21" s="13">
        <v>3</v>
      </c>
      <c r="Y21" s="13"/>
      <c r="Z21" s="13">
        <v>2</v>
      </c>
      <c r="AA21" s="13">
        <v>1</v>
      </c>
      <c r="AB21" s="13"/>
      <c r="AC21" s="13"/>
      <c r="AD21" s="13"/>
      <c r="AE21" s="13">
        <v>7</v>
      </c>
    </row>
    <row r="22" spans="1:31" x14ac:dyDescent="0.25">
      <c r="T22" s="13" t="s">
        <v>185</v>
      </c>
      <c r="U22" s="13"/>
      <c r="V22" s="13">
        <v>1</v>
      </c>
      <c r="W22" s="13"/>
      <c r="X22" s="13"/>
      <c r="Y22" s="13"/>
      <c r="Z22" s="13">
        <v>1</v>
      </c>
      <c r="AA22" s="13"/>
      <c r="AB22" s="13">
        <v>2</v>
      </c>
      <c r="AC22" s="13"/>
      <c r="AD22" s="13"/>
      <c r="AE22" s="13">
        <v>4</v>
      </c>
    </row>
    <row r="23" spans="1:31" x14ac:dyDescent="0.25">
      <c r="T23" s="13" t="s">
        <v>29</v>
      </c>
      <c r="U23" s="13">
        <v>1</v>
      </c>
      <c r="V23" s="13"/>
      <c r="W23" s="13">
        <v>1</v>
      </c>
      <c r="X23" s="13">
        <v>2</v>
      </c>
      <c r="Y23" s="13"/>
      <c r="Z23" s="13"/>
      <c r="AA23" s="13">
        <v>1</v>
      </c>
      <c r="AB23" s="13"/>
      <c r="AC23" s="13">
        <v>1</v>
      </c>
      <c r="AD23" s="13"/>
      <c r="AE23" s="13">
        <v>6</v>
      </c>
    </row>
    <row r="24" spans="1:31" x14ac:dyDescent="0.25">
      <c r="B24" s="18" t="s">
        <v>450</v>
      </c>
      <c r="C24" s="13"/>
      <c r="D24" s="13"/>
      <c r="E24" s="13"/>
      <c r="F24" s="13"/>
      <c r="H24" s="18" t="s">
        <v>455</v>
      </c>
      <c r="I24" s="13"/>
      <c r="J24" s="13"/>
      <c r="K24" s="13"/>
      <c r="L24" s="13"/>
      <c r="M24" s="13"/>
      <c r="T24" s="13" t="s">
        <v>68</v>
      </c>
      <c r="U24" s="13">
        <v>1</v>
      </c>
      <c r="V24" s="13">
        <v>1</v>
      </c>
      <c r="W24" s="13"/>
      <c r="X24" s="13">
        <v>1</v>
      </c>
      <c r="Y24" s="13"/>
      <c r="Z24" s="13">
        <v>1</v>
      </c>
      <c r="AA24" s="13"/>
      <c r="AB24" s="13"/>
      <c r="AC24" s="13"/>
      <c r="AD24" s="13"/>
      <c r="AE24" s="13">
        <v>4</v>
      </c>
    </row>
    <row r="25" spans="1:31" x14ac:dyDescent="0.25">
      <c r="B25" s="13"/>
      <c r="C25" s="13" t="s">
        <v>33</v>
      </c>
      <c r="D25" s="13" t="s">
        <v>19</v>
      </c>
      <c r="E25" s="13" t="s">
        <v>46</v>
      </c>
      <c r="F25" s="13" t="s">
        <v>431</v>
      </c>
      <c r="H25" s="13"/>
      <c r="I25" s="13" t="s">
        <v>20</v>
      </c>
      <c r="J25" s="13" t="s">
        <v>26</v>
      </c>
      <c r="K25" s="13" t="s">
        <v>57</v>
      </c>
      <c r="L25" s="13" t="s">
        <v>34</v>
      </c>
      <c r="M25" s="13" t="s">
        <v>431</v>
      </c>
      <c r="T25" s="13" t="s">
        <v>15</v>
      </c>
      <c r="U25" s="13">
        <v>1</v>
      </c>
      <c r="V25" s="13"/>
      <c r="W25" s="13"/>
      <c r="X25" s="13">
        <v>1</v>
      </c>
      <c r="Y25" s="13"/>
      <c r="Z25" s="13">
        <v>2</v>
      </c>
      <c r="AA25" s="13">
        <v>1</v>
      </c>
      <c r="AB25" s="13">
        <v>3</v>
      </c>
      <c r="AC25" s="13"/>
      <c r="AD25" s="13"/>
      <c r="AE25" s="13">
        <v>8</v>
      </c>
    </row>
    <row r="26" spans="1:31" x14ac:dyDescent="0.25">
      <c r="B26" s="13" t="s">
        <v>433</v>
      </c>
      <c r="C26" s="20">
        <v>5899.11</v>
      </c>
      <c r="D26" s="20">
        <v>122647.15</v>
      </c>
      <c r="E26" s="20">
        <v>31898.47</v>
      </c>
      <c r="F26" s="20">
        <v>160444.72999999995</v>
      </c>
      <c r="H26" s="13" t="s">
        <v>433</v>
      </c>
      <c r="I26" s="13">
        <v>57</v>
      </c>
      <c r="J26" s="13">
        <v>54</v>
      </c>
      <c r="K26" s="13">
        <v>34</v>
      </c>
      <c r="L26" s="13">
        <v>33</v>
      </c>
      <c r="M26" s="13">
        <v>178</v>
      </c>
      <c r="T26" s="13" t="s">
        <v>48</v>
      </c>
      <c r="U26" s="13">
        <v>1</v>
      </c>
      <c r="V26" s="13"/>
      <c r="W26" s="13"/>
      <c r="X26" s="13">
        <v>1</v>
      </c>
      <c r="Y26" s="13">
        <v>1</v>
      </c>
      <c r="Z26" s="13"/>
      <c r="AA26" s="13">
        <v>1</v>
      </c>
      <c r="AB26" s="13">
        <v>1</v>
      </c>
      <c r="AC26" s="13"/>
      <c r="AD26" s="13">
        <v>1</v>
      </c>
      <c r="AE26" s="13">
        <v>6</v>
      </c>
    </row>
    <row r="27" spans="1:31" x14ac:dyDescent="0.25">
      <c r="B27" s="19" t="s">
        <v>435</v>
      </c>
      <c r="C27" s="20">
        <v>1019.83</v>
      </c>
      <c r="D27" s="20">
        <v>17199.679999999997</v>
      </c>
      <c r="E27" s="20">
        <v>2699.82</v>
      </c>
      <c r="F27" s="20">
        <v>20919.329999999998</v>
      </c>
      <c r="H27" s="19" t="s">
        <v>435</v>
      </c>
      <c r="I27" s="13">
        <v>7</v>
      </c>
      <c r="J27" s="13">
        <v>8</v>
      </c>
      <c r="K27" s="13">
        <v>4</v>
      </c>
      <c r="L27" s="13">
        <v>2</v>
      </c>
      <c r="M27" s="13">
        <v>21</v>
      </c>
      <c r="T27" s="13" t="s">
        <v>86</v>
      </c>
      <c r="U27" s="13"/>
      <c r="V27" s="13">
        <v>1</v>
      </c>
      <c r="W27" s="13"/>
      <c r="X27" s="13">
        <v>4</v>
      </c>
      <c r="Y27" s="13"/>
      <c r="Z27" s="13">
        <v>2</v>
      </c>
      <c r="AA27" s="13">
        <v>2</v>
      </c>
      <c r="AB27" s="13"/>
      <c r="AC27" s="13"/>
      <c r="AD27" s="13">
        <v>3</v>
      </c>
      <c r="AE27" s="13">
        <v>12</v>
      </c>
    </row>
    <row r="28" spans="1:31" x14ac:dyDescent="0.25">
      <c r="B28" s="19" t="s">
        <v>436</v>
      </c>
      <c r="C28" s="20">
        <v>919.87</v>
      </c>
      <c r="D28" s="20">
        <v>10169.729999999998</v>
      </c>
      <c r="E28" s="20">
        <v>5949.75</v>
      </c>
      <c r="F28" s="20">
        <v>17039.349999999999</v>
      </c>
      <c r="H28" s="19" t="s">
        <v>436</v>
      </c>
      <c r="I28" s="13">
        <v>6</v>
      </c>
      <c r="J28" s="13">
        <v>6</v>
      </c>
      <c r="K28" s="13">
        <v>2</v>
      </c>
      <c r="L28" s="13">
        <v>5</v>
      </c>
      <c r="M28" s="13">
        <v>19</v>
      </c>
      <c r="T28" s="13" t="s">
        <v>65</v>
      </c>
      <c r="U28" s="13">
        <v>1</v>
      </c>
      <c r="V28" s="13"/>
      <c r="W28" s="13"/>
      <c r="X28" s="13">
        <v>1</v>
      </c>
      <c r="Y28" s="13"/>
      <c r="Z28" s="13">
        <v>1</v>
      </c>
      <c r="AA28" s="13"/>
      <c r="AB28" s="13">
        <v>2</v>
      </c>
      <c r="AC28" s="13">
        <v>1</v>
      </c>
      <c r="AD28" s="13">
        <v>2</v>
      </c>
      <c r="AE28" s="13">
        <v>8</v>
      </c>
    </row>
    <row r="29" spans="1:31" x14ac:dyDescent="0.25">
      <c r="B29" s="19" t="s">
        <v>437</v>
      </c>
      <c r="C29" s="20">
        <v>499.92</v>
      </c>
      <c r="D29" s="20">
        <v>17749.579999999998</v>
      </c>
      <c r="E29" s="20">
        <v>1049.95</v>
      </c>
      <c r="F29" s="20">
        <v>19299.449999999997</v>
      </c>
      <c r="H29" s="19" t="s">
        <v>437</v>
      </c>
      <c r="I29" s="13">
        <v>6</v>
      </c>
      <c r="J29" s="13">
        <v>7</v>
      </c>
      <c r="K29" s="13">
        <v>3</v>
      </c>
      <c r="L29" s="13">
        <v>3</v>
      </c>
      <c r="M29" s="13">
        <v>19</v>
      </c>
      <c r="T29" s="13" t="s">
        <v>83</v>
      </c>
      <c r="U29" s="13">
        <v>1</v>
      </c>
      <c r="V29" s="13"/>
      <c r="W29" s="13"/>
      <c r="X29" s="13"/>
      <c r="Y29" s="13"/>
      <c r="Z29" s="13"/>
      <c r="AA29" s="13">
        <v>2</v>
      </c>
      <c r="AB29" s="13"/>
      <c r="AC29" s="13"/>
      <c r="AD29" s="13"/>
      <c r="AE29" s="13">
        <v>3</v>
      </c>
    </row>
    <row r="30" spans="1:31" x14ac:dyDescent="0.25">
      <c r="B30" s="19" t="s">
        <v>438</v>
      </c>
      <c r="C30" s="20">
        <v>939.86</v>
      </c>
      <c r="D30" s="20">
        <v>14439.679999999997</v>
      </c>
      <c r="E30" s="20">
        <v>3099.8600000000006</v>
      </c>
      <c r="F30" s="20">
        <v>18479.399999999998</v>
      </c>
      <c r="H30" s="19" t="s">
        <v>438</v>
      </c>
      <c r="I30" s="13">
        <v>11</v>
      </c>
      <c r="J30" s="13">
        <v>3</v>
      </c>
      <c r="K30" s="13">
        <v>5</v>
      </c>
      <c r="L30" s="13">
        <v>5</v>
      </c>
      <c r="M30" s="13">
        <v>24</v>
      </c>
      <c r="T30" s="13" t="s">
        <v>158</v>
      </c>
      <c r="U30" s="13">
        <v>1</v>
      </c>
      <c r="V30" s="13"/>
      <c r="W30" s="13"/>
      <c r="X30" s="13"/>
      <c r="Y30" s="13"/>
      <c r="Z30" s="13">
        <v>1</v>
      </c>
      <c r="AA30" s="13"/>
      <c r="AB30" s="13">
        <v>1</v>
      </c>
      <c r="AC30" s="13">
        <v>1</v>
      </c>
      <c r="AD30" s="13">
        <v>1</v>
      </c>
      <c r="AE30" s="13">
        <v>5</v>
      </c>
    </row>
    <row r="31" spans="1:31" x14ac:dyDescent="0.25">
      <c r="B31" s="19" t="s">
        <v>439</v>
      </c>
      <c r="C31" s="20">
        <v>239.97</v>
      </c>
      <c r="D31" s="20">
        <v>10869.689999999999</v>
      </c>
      <c r="E31" s="20">
        <v>4649.7699999999995</v>
      </c>
      <c r="F31" s="20">
        <v>15759.429999999997</v>
      </c>
      <c r="H31" s="19" t="s">
        <v>439</v>
      </c>
      <c r="I31" s="13">
        <v>7</v>
      </c>
      <c r="J31" s="13">
        <v>5</v>
      </c>
      <c r="K31" s="13">
        <v>3</v>
      </c>
      <c r="L31" s="13">
        <v>3</v>
      </c>
      <c r="M31" s="13">
        <v>18</v>
      </c>
      <c r="T31" s="13" t="s">
        <v>123</v>
      </c>
      <c r="U31" s="13">
        <v>1</v>
      </c>
      <c r="V31" s="13"/>
      <c r="W31" s="13"/>
      <c r="X31" s="13"/>
      <c r="Y31" s="13"/>
      <c r="Z31" s="13">
        <v>1</v>
      </c>
      <c r="AA31" s="13">
        <v>2</v>
      </c>
      <c r="AB31" s="13"/>
      <c r="AC31" s="13">
        <v>1</v>
      </c>
      <c r="AD31" s="13">
        <v>1</v>
      </c>
      <c r="AE31" s="13">
        <v>6</v>
      </c>
    </row>
    <row r="32" spans="1:31" x14ac:dyDescent="0.25">
      <c r="B32" s="19" t="s">
        <v>440</v>
      </c>
      <c r="C32" s="20">
        <v>759.89</v>
      </c>
      <c r="D32" s="20">
        <v>9279.75</v>
      </c>
      <c r="E32" s="20">
        <v>2949.87</v>
      </c>
      <c r="F32" s="20">
        <v>12989.509999999998</v>
      </c>
      <c r="H32" s="19" t="s">
        <v>440</v>
      </c>
      <c r="I32" s="13">
        <v>3</v>
      </c>
      <c r="J32" s="13">
        <v>6</v>
      </c>
      <c r="K32" s="13">
        <v>5</v>
      </c>
      <c r="L32" s="13">
        <v>5</v>
      </c>
      <c r="M32" s="13">
        <v>19</v>
      </c>
      <c r="T32" s="13" t="s">
        <v>120</v>
      </c>
      <c r="U32" s="13">
        <v>1</v>
      </c>
      <c r="V32" s="13">
        <v>1</v>
      </c>
      <c r="W32" s="13">
        <v>1</v>
      </c>
      <c r="X32" s="13"/>
      <c r="Y32" s="13">
        <v>1</v>
      </c>
      <c r="Z32" s="13"/>
      <c r="AA32" s="13">
        <v>1</v>
      </c>
      <c r="AB32" s="13">
        <v>1</v>
      </c>
      <c r="AC32" s="13">
        <v>1</v>
      </c>
      <c r="AD32" s="13"/>
      <c r="AE32" s="13">
        <v>7</v>
      </c>
    </row>
    <row r="33" spans="2:31" x14ac:dyDescent="0.25">
      <c r="B33" s="19" t="s">
        <v>441</v>
      </c>
      <c r="C33" s="20">
        <v>119.98</v>
      </c>
      <c r="D33" s="20">
        <v>17939.64</v>
      </c>
      <c r="E33" s="20">
        <v>2549.9</v>
      </c>
      <c r="F33" s="20">
        <v>20609.52</v>
      </c>
      <c r="H33" s="19" t="s">
        <v>441</v>
      </c>
      <c r="I33" s="13">
        <v>4</v>
      </c>
      <c r="J33" s="13">
        <v>8</v>
      </c>
      <c r="K33" s="13">
        <v>1</v>
      </c>
      <c r="L33" s="13">
        <v>3</v>
      </c>
      <c r="M33" s="13">
        <v>16</v>
      </c>
      <c r="T33" s="13" t="s">
        <v>138</v>
      </c>
      <c r="U33" s="13">
        <v>1</v>
      </c>
      <c r="V33" s="13"/>
      <c r="W33" s="13"/>
      <c r="X33" s="13">
        <v>1</v>
      </c>
      <c r="Y33" s="13">
        <v>1</v>
      </c>
      <c r="Z33" s="13">
        <v>1</v>
      </c>
      <c r="AA33" s="13"/>
      <c r="AB33" s="13"/>
      <c r="AC33" s="13">
        <v>2</v>
      </c>
      <c r="AD33" s="13"/>
      <c r="AE33" s="13">
        <v>6</v>
      </c>
    </row>
    <row r="34" spans="2:31" x14ac:dyDescent="0.25">
      <c r="B34" s="19" t="s">
        <v>442</v>
      </c>
      <c r="C34" s="20">
        <v>539.91</v>
      </c>
      <c r="D34" s="20">
        <v>7969.7399999999989</v>
      </c>
      <c r="E34" s="20">
        <v>3799.7900000000004</v>
      </c>
      <c r="F34" s="20">
        <v>12309.44</v>
      </c>
      <c r="H34" s="19" t="s">
        <v>442</v>
      </c>
      <c r="I34" s="13">
        <v>3</v>
      </c>
      <c r="J34" s="13">
        <v>7</v>
      </c>
      <c r="K34" s="13">
        <v>3</v>
      </c>
      <c r="L34" s="13">
        <v>4</v>
      </c>
      <c r="M34" s="13">
        <v>17</v>
      </c>
      <c r="T34" s="13" t="s">
        <v>234</v>
      </c>
      <c r="U34" s="13"/>
      <c r="V34" s="13">
        <v>1</v>
      </c>
      <c r="W34" s="13"/>
      <c r="X34" s="13">
        <v>1</v>
      </c>
      <c r="Y34" s="13">
        <v>1</v>
      </c>
      <c r="Z34" s="13"/>
      <c r="AA34" s="13">
        <v>1</v>
      </c>
      <c r="AB34" s="13"/>
      <c r="AC34" s="13"/>
      <c r="AD34" s="13">
        <v>1</v>
      </c>
      <c r="AE34" s="13">
        <v>5</v>
      </c>
    </row>
    <row r="35" spans="2:31" x14ac:dyDescent="0.25">
      <c r="B35" s="19" t="s">
        <v>443</v>
      </c>
      <c r="C35" s="20">
        <v>859.88</v>
      </c>
      <c r="D35" s="20">
        <v>17029.659999999996</v>
      </c>
      <c r="E35" s="20">
        <v>5149.76</v>
      </c>
      <c r="F35" s="20">
        <v>23039.299999999996</v>
      </c>
      <c r="H35" s="19" t="s">
        <v>443</v>
      </c>
      <c r="I35" s="13">
        <v>10</v>
      </c>
      <c r="J35" s="13">
        <v>4</v>
      </c>
      <c r="K35" s="13">
        <v>8</v>
      </c>
      <c r="L35" s="13">
        <v>3</v>
      </c>
      <c r="M35" s="13">
        <v>25</v>
      </c>
      <c r="T35" s="13" t="s">
        <v>192</v>
      </c>
      <c r="U35" s="13">
        <v>2</v>
      </c>
      <c r="V35" s="13"/>
      <c r="W35" s="13"/>
      <c r="X35" s="13">
        <v>1</v>
      </c>
      <c r="Y35" s="13"/>
      <c r="Z35" s="13"/>
      <c r="AA35" s="13"/>
      <c r="AB35" s="13"/>
      <c r="AC35" s="13">
        <v>2</v>
      </c>
      <c r="AD35" s="13"/>
      <c r="AE35" s="13">
        <v>5</v>
      </c>
    </row>
    <row r="36" spans="2:31" x14ac:dyDescent="0.25">
      <c r="B36" s="13" t="s">
        <v>434</v>
      </c>
      <c r="C36" s="20">
        <v>2439.6299999999997</v>
      </c>
      <c r="D36" s="20">
        <v>49108.899999999994</v>
      </c>
      <c r="E36" s="20">
        <v>17199.21</v>
      </c>
      <c r="F36" s="20">
        <v>68747.739999999991</v>
      </c>
      <c r="H36" s="13" t="s">
        <v>434</v>
      </c>
      <c r="I36" s="13">
        <v>19</v>
      </c>
      <c r="J36" s="13">
        <v>14</v>
      </c>
      <c r="K36" s="13">
        <v>20</v>
      </c>
      <c r="L36" s="13">
        <v>19</v>
      </c>
      <c r="M36" s="13">
        <v>72</v>
      </c>
      <c r="T36" s="13" t="s">
        <v>231</v>
      </c>
      <c r="U36" s="13"/>
      <c r="V36" s="13">
        <v>1</v>
      </c>
      <c r="W36" s="13"/>
      <c r="X36" s="13"/>
      <c r="Y36" s="13">
        <v>1</v>
      </c>
      <c r="Z36" s="13"/>
      <c r="AA36" s="13"/>
      <c r="AB36" s="13">
        <v>1</v>
      </c>
      <c r="AC36" s="13"/>
      <c r="AD36" s="13"/>
      <c r="AE36" s="13">
        <v>3</v>
      </c>
    </row>
    <row r="37" spans="2:31" x14ac:dyDescent="0.25">
      <c r="B37" s="19" t="s">
        <v>444</v>
      </c>
      <c r="C37" s="20">
        <v>619.9</v>
      </c>
      <c r="D37" s="20">
        <v>18429.519999999997</v>
      </c>
      <c r="E37" s="20">
        <v>6749.7300000000005</v>
      </c>
      <c r="F37" s="20">
        <v>25799.149999999998</v>
      </c>
      <c r="H37" s="19" t="s">
        <v>444</v>
      </c>
      <c r="I37" s="13">
        <v>3</v>
      </c>
      <c r="J37" s="13">
        <v>8</v>
      </c>
      <c r="K37" s="13">
        <v>11</v>
      </c>
      <c r="L37" s="13">
        <v>4</v>
      </c>
      <c r="M37" s="13">
        <v>26</v>
      </c>
      <c r="T37" s="13" t="s">
        <v>144</v>
      </c>
      <c r="U37" s="13"/>
      <c r="V37" s="13"/>
      <c r="W37" s="13"/>
      <c r="X37" s="13"/>
      <c r="Y37" s="13"/>
      <c r="Z37" s="13">
        <v>1</v>
      </c>
      <c r="AA37" s="13">
        <v>1</v>
      </c>
      <c r="AB37" s="13">
        <v>2</v>
      </c>
      <c r="AC37" s="13"/>
      <c r="AD37" s="13"/>
      <c r="AE37" s="13">
        <v>4</v>
      </c>
    </row>
    <row r="38" spans="2:31" x14ac:dyDescent="0.25">
      <c r="B38" s="19" t="s">
        <v>445</v>
      </c>
      <c r="C38" s="20">
        <v>839.87</v>
      </c>
      <c r="D38" s="20">
        <v>8229.83</v>
      </c>
      <c r="E38" s="20">
        <v>6999.68</v>
      </c>
      <c r="F38" s="20">
        <v>16069.380000000001</v>
      </c>
      <c r="H38" s="19" t="s">
        <v>445</v>
      </c>
      <c r="I38" s="13">
        <v>9</v>
      </c>
      <c r="J38" s="13">
        <v>1</v>
      </c>
      <c r="K38" s="13">
        <v>3</v>
      </c>
      <c r="L38" s="13">
        <v>7</v>
      </c>
      <c r="M38" s="13">
        <v>20</v>
      </c>
      <c r="T38" s="13" t="s">
        <v>108</v>
      </c>
      <c r="U38" s="13"/>
      <c r="V38" s="13">
        <v>1</v>
      </c>
      <c r="W38" s="13">
        <v>1</v>
      </c>
      <c r="X38" s="13"/>
      <c r="Y38" s="13">
        <v>1</v>
      </c>
      <c r="Z38" s="13"/>
      <c r="AA38" s="13"/>
      <c r="AB38" s="13">
        <v>2</v>
      </c>
      <c r="AC38" s="13">
        <v>1</v>
      </c>
      <c r="AD38" s="13"/>
      <c r="AE38" s="13">
        <v>6</v>
      </c>
    </row>
    <row r="39" spans="2:31" x14ac:dyDescent="0.25">
      <c r="B39" s="19" t="s">
        <v>446</v>
      </c>
      <c r="C39" s="20">
        <v>739.89</v>
      </c>
      <c r="D39" s="20">
        <v>15709.689999999999</v>
      </c>
      <c r="E39" s="20">
        <v>3449.8</v>
      </c>
      <c r="F39" s="20">
        <v>19899.379999999997</v>
      </c>
      <c r="H39" s="19" t="s">
        <v>446</v>
      </c>
      <c r="I39" s="13">
        <v>6</v>
      </c>
      <c r="J39" s="13">
        <v>4</v>
      </c>
      <c r="K39" s="13">
        <v>3</v>
      </c>
      <c r="L39" s="13">
        <v>6</v>
      </c>
      <c r="M39" s="13">
        <v>19</v>
      </c>
      <c r="T39" s="13" t="s">
        <v>325</v>
      </c>
      <c r="U39" s="13">
        <v>1</v>
      </c>
      <c r="V39" s="13">
        <v>1</v>
      </c>
      <c r="W39" s="13"/>
      <c r="X39" s="13"/>
      <c r="Y39" s="13"/>
      <c r="Z39" s="13"/>
      <c r="AA39" s="13">
        <v>1</v>
      </c>
      <c r="AB39" s="13"/>
      <c r="AC39" s="13"/>
      <c r="AD39" s="13"/>
      <c r="AE39" s="13">
        <v>3</v>
      </c>
    </row>
    <row r="40" spans="2:31" x14ac:dyDescent="0.25">
      <c r="B40" s="19" t="s">
        <v>435</v>
      </c>
      <c r="C40" s="20">
        <v>239.97</v>
      </c>
      <c r="D40" s="20">
        <v>6739.86</v>
      </c>
      <c r="E40" s="20"/>
      <c r="F40" s="20">
        <v>6979.83</v>
      </c>
      <c r="H40" s="19" t="s">
        <v>435</v>
      </c>
      <c r="I40" s="13">
        <v>1</v>
      </c>
      <c r="J40" s="13">
        <v>1</v>
      </c>
      <c r="K40" s="13">
        <v>3</v>
      </c>
      <c r="L40" s="13">
        <v>2</v>
      </c>
      <c r="M40" s="13">
        <v>7</v>
      </c>
      <c r="T40" s="13" t="s">
        <v>78</v>
      </c>
      <c r="U40" s="13"/>
      <c r="V40" s="13"/>
      <c r="W40" s="13"/>
      <c r="X40" s="13"/>
      <c r="Y40" s="13"/>
      <c r="Z40" s="13"/>
      <c r="AA40" s="13"/>
      <c r="AB40" s="13"/>
      <c r="AC40" s="13"/>
      <c r="AD40" s="13">
        <v>2</v>
      </c>
      <c r="AE40" s="13">
        <v>2</v>
      </c>
    </row>
    <row r="41" spans="2:31" x14ac:dyDescent="0.25">
      <c r="B41" s="13" t="s">
        <v>431</v>
      </c>
      <c r="C41" s="20">
        <v>8338.74</v>
      </c>
      <c r="D41" s="20">
        <v>171756.04999999996</v>
      </c>
      <c r="E41" s="20">
        <v>49097.680000000008</v>
      </c>
      <c r="F41" s="20">
        <v>229192.46999999994</v>
      </c>
      <c r="H41" s="13" t="s">
        <v>431</v>
      </c>
      <c r="I41" s="13">
        <v>76</v>
      </c>
      <c r="J41" s="13">
        <v>68</v>
      </c>
      <c r="K41" s="13">
        <v>54</v>
      </c>
      <c r="L41" s="13">
        <v>52</v>
      </c>
      <c r="M41" s="13">
        <v>250</v>
      </c>
      <c r="T41" s="13" t="s">
        <v>226</v>
      </c>
      <c r="U41" s="13"/>
      <c r="V41" s="13">
        <v>1</v>
      </c>
      <c r="W41" s="13">
        <v>1</v>
      </c>
      <c r="X41" s="13"/>
      <c r="Y41" s="13">
        <v>1</v>
      </c>
      <c r="Z41" s="13">
        <v>2</v>
      </c>
      <c r="AA41" s="13"/>
      <c r="AB41" s="13"/>
      <c r="AC41" s="13">
        <v>1</v>
      </c>
      <c r="AD41" s="13">
        <v>2</v>
      </c>
      <c r="AE41" s="13">
        <v>8</v>
      </c>
    </row>
    <row r="42" spans="2:31" x14ac:dyDescent="0.25">
      <c r="T42" s="13" t="s">
        <v>150</v>
      </c>
      <c r="U42" s="13">
        <v>2</v>
      </c>
      <c r="V42" s="13"/>
      <c r="W42" s="13"/>
      <c r="X42" s="13"/>
      <c r="Y42" s="13"/>
      <c r="Z42" s="13"/>
      <c r="AA42" s="13">
        <v>3</v>
      </c>
      <c r="AB42" s="13"/>
      <c r="AC42" s="13"/>
      <c r="AD42" s="13">
        <v>1</v>
      </c>
      <c r="AE42" s="13">
        <v>6</v>
      </c>
    </row>
    <row r="43" spans="2:31" x14ac:dyDescent="0.25">
      <c r="T43" s="13" t="s">
        <v>72</v>
      </c>
      <c r="U43" s="13"/>
      <c r="V43" s="13">
        <v>2</v>
      </c>
      <c r="W43" s="13"/>
      <c r="X43" s="13"/>
      <c r="Y43" s="13">
        <v>1</v>
      </c>
      <c r="Z43" s="13"/>
      <c r="AA43" s="13">
        <v>1</v>
      </c>
      <c r="AB43" s="13"/>
      <c r="AC43" s="13"/>
      <c r="AD43" s="13">
        <v>1</v>
      </c>
      <c r="AE43" s="13">
        <v>5</v>
      </c>
    </row>
    <row r="44" spans="2:31" x14ac:dyDescent="0.25">
      <c r="T44" s="13" t="s">
        <v>246</v>
      </c>
      <c r="U44" s="13"/>
      <c r="V44" s="13">
        <v>1</v>
      </c>
      <c r="W44" s="13"/>
      <c r="X44" s="13"/>
      <c r="Y44" s="13">
        <v>1</v>
      </c>
      <c r="Z44" s="13"/>
      <c r="AA44" s="13"/>
      <c r="AB44" s="13"/>
      <c r="AC44" s="13"/>
      <c r="AD44" s="13">
        <v>1</v>
      </c>
      <c r="AE44" s="13">
        <v>3</v>
      </c>
    </row>
    <row r="45" spans="2:31" x14ac:dyDescent="0.25">
      <c r="T45" s="13" t="s">
        <v>75</v>
      </c>
      <c r="U45" s="13">
        <v>2</v>
      </c>
      <c r="V45" s="13"/>
      <c r="W45" s="13"/>
      <c r="X45" s="13"/>
      <c r="Y45" s="13"/>
      <c r="Z45" s="13"/>
      <c r="AA45" s="13"/>
      <c r="AB45" s="13"/>
      <c r="AC45" s="13"/>
      <c r="AD45" s="13"/>
      <c r="AE45" s="13">
        <v>2</v>
      </c>
    </row>
    <row r="46" spans="2:31" x14ac:dyDescent="0.25">
      <c r="T46" s="13" t="s">
        <v>102</v>
      </c>
      <c r="U46" s="13"/>
      <c r="V46" s="13">
        <v>2</v>
      </c>
      <c r="W46" s="13">
        <v>1</v>
      </c>
      <c r="X46" s="13"/>
      <c r="Y46" s="13"/>
      <c r="Z46" s="13"/>
      <c r="AA46" s="13"/>
      <c r="AB46" s="13">
        <v>1</v>
      </c>
      <c r="AC46" s="13"/>
      <c r="AD46" s="13">
        <v>1</v>
      </c>
      <c r="AE46" s="13">
        <v>5</v>
      </c>
    </row>
    <row r="47" spans="2:31" x14ac:dyDescent="0.25">
      <c r="T47" s="13" t="s">
        <v>293</v>
      </c>
      <c r="U47" s="13"/>
      <c r="V47" s="13"/>
      <c r="W47" s="13">
        <v>1</v>
      </c>
      <c r="X47" s="13"/>
      <c r="Y47" s="13"/>
      <c r="Z47" s="13"/>
      <c r="AA47" s="13"/>
      <c r="AB47" s="13">
        <v>1</v>
      </c>
      <c r="AC47" s="13"/>
      <c r="AD47" s="13">
        <v>2</v>
      </c>
      <c r="AE47" s="13">
        <v>4</v>
      </c>
    </row>
    <row r="48" spans="2:31" x14ac:dyDescent="0.25">
      <c r="T48" s="13" t="s">
        <v>38</v>
      </c>
      <c r="U48" s="13">
        <v>1</v>
      </c>
      <c r="V48" s="13">
        <v>1</v>
      </c>
      <c r="W48" s="13"/>
      <c r="X48" s="13"/>
      <c r="Y48" s="13">
        <v>1</v>
      </c>
      <c r="Z48" s="13">
        <v>1</v>
      </c>
      <c r="AA48" s="13"/>
      <c r="AB48" s="13"/>
      <c r="AC48" s="13">
        <v>1</v>
      </c>
      <c r="AD48" s="13">
        <v>1</v>
      </c>
      <c r="AE48" s="13">
        <v>6</v>
      </c>
    </row>
    <row r="49" spans="20:31" x14ac:dyDescent="0.25">
      <c r="T49" s="13" t="s">
        <v>196</v>
      </c>
      <c r="U49" s="13">
        <v>1</v>
      </c>
      <c r="V49" s="13"/>
      <c r="W49" s="13"/>
      <c r="X49" s="13"/>
      <c r="Y49" s="13"/>
      <c r="Z49" s="13"/>
      <c r="AA49" s="13">
        <v>1</v>
      </c>
      <c r="AB49" s="13">
        <v>1</v>
      </c>
      <c r="AC49" s="13"/>
      <c r="AD49" s="13">
        <v>1</v>
      </c>
      <c r="AE49" s="13">
        <v>4</v>
      </c>
    </row>
    <row r="50" spans="20:31" x14ac:dyDescent="0.25">
      <c r="T50" s="13" t="s">
        <v>93</v>
      </c>
      <c r="U50" s="13"/>
      <c r="V50" s="13">
        <v>1</v>
      </c>
      <c r="W50" s="13">
        <v>1</v>
      </c>
      <c r="X50" s="13">
        <v>2</v>
      </c>
      <c r="Y50" s="13"/>
      <c r="Z50" s="13"/>
      <c r="AA50" s="13"/>
      <c r="AB50" s="13">
        <v>2</v>
      </c>
      <c r="AC50" s="13"/>
      <c r="AD50" s="13"/>
      <c r="AE50" s="13">
        <v>6</v>
      </c>
    </row>
    <row r="51" spans="20:31" x14ac:dyDescent="0.25">
      <c r="T51" s="13" t="s">
        <v>171</v>
      </c>
      <c r="U51" s="13">
        <v>1</v>
      </c>
      <c r="V51" s="13"/>
      <c r="W51" s="13"/>
      <c r="X51" s="13"/>
      <c r="Y51" s="13"/>
      <c r="Z51" s="13">
        <v>2</v>
      </c>
      <c r="AA51" s="13"/>
      <c r="AB51" s="13"/>
      <c r="AC51" s="13"/>
      <c r="AD51" s="13">
        <v>1</v>
      </c>
      <c r="AE51" s="13">
        <v>4</v>
      </c>
    </row>
    <row r="52" spans="20:31" x14ac:dyDescent="0.25">
      <c r="T52" s="13" t="s">
        <v>162</v>
      </c>
      <c r="U52" s="13">
        <v>1</v>
      </c>
      <c r="V52" s="13"/>
      <c r="W52" s="13"/>
      <c r="X52" s="13"/>
      <c r="Y52" s="13"/>
      <c r="Z52" s="13"/>
      <c r="AA52" s="13"/>
      <c r="AB52" s="13"/>
      <c r="AC52" s="13"/>
      <c r="AD52" s="13"/>
      <c r="AE52" s="13">
        <v>1</v>
      </c>
    </row>
    <row r="53" spans="20:31" x14ac:dyDescent="0.25">
      <c r="T53" s="13" t="s">
        <v>431</v>
      </c>
      <c r="U53" s="13">
        <v>29</v>
      </c>
      <c r="V53" s="13">
        <v>35</v>
      </c>
      <c r="W53" s="13">
        <v>14</v>
      </c>
      <c r="X53" s="13">
        <v>26</v>
      </c>
      <c r="Y53" s="13">
        <v>16</v>
      </c>
      <c r="Z53" s="13">
        <v>34</v>
      </c>
      <c r="AA53" s="13">
        <v>24</v>
      </c>
      <c r="AB53" s="13">
        <v>26</v>
      </c>
      <c r="AC53" s="13">
        <v>15</v>
      </c>
      <c r="AD53" s="13">
        <v>31</v>
      </c>
      <c r="AE53" s="13">
        <v>250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B5D16-805B-4ACE-9844-E4079127A7AB}">
  <dimension ref="A1:I18"/>
  <sheetViews>
    <sheetView zoomScale="111" workbookViewId="0">
      <selection activeCell="D13" sqref="D13"/>
    </sheetView>
  </sheetViews>
  <sheetFormatPr defaultRowHeight="15" x14ac:dyDescent="0.25"/>
  <cols>
    <col min="1" max="1" width="18" bestFit="1" customWidth="1"/>
    <col min="2" max="2" width="12" bestFit="1" customWidth="1"/>
    <col min="3" max="3" width="14.5703125" bestFit="1" customWidth="1"/>
    <col min="4" max="5" width="12" bestFit="1" customWidth="1"/>
    <col min="6" max="6" width="13.42578125" bestFit="1" customWidth="1"/>
    <col min="7" max="7" width="12" bestFit="1" customWidth="1"/>
    <col min="8" max="8" width="12.42578125" bestFit="1" customWidth="1"/>
    <col min="9" max="9" width="12.5703125" bestFit="1" customWidth="1"/>
  </cols>
  <sheetData>
    <row r="1" spans="1:9" x14ac:dyDescent="0.25">
      <c r="A1" t="s">
        <v>401</v>
      </c>
    </row>
    <row r="2" spans="1:9" ht="15.75" thickBot="1" x14ac:dyDescent="0.3"/>
    <row r="3" spans="1:9" x14ac:dyDescent="0.25">
      <c r="A3" s="11" t="s">
        <v>402</v>
      </c>
      <c r="B3" s="11"/>
    </row>
    <row r="4" spans="1:9" x14ac:dyDescent="0.25">
      <c r="A4" t="s">
        <v>403</v>
      </c>
      <c r="B4">
        <v>0.45808036093237464</v>
      </c>
    </row>
    <row r="5" spans="1:9" x14ac:dyDescent="0.25">
      <c r="A5" t="s">
        <v>404</v>
      </c>
      <c r="B5">
        <v>0.20983761707193463</v>
      </c>
    </row>
    <row r="6" spans="1:9" x14ac:dyDescent="0.25">
      <c r="A6" t="s">
        <v>405</v>
      </c>
      <c r="B6">
        <v>0.20665147843109566</v>
      </c>
    </row>
    <row r="7" spans="1:9" x14ac:dyDescent="0.25">
      <c r="A7" t="s">
        <v>406</v>
      </c>
      <c r="B7">
        <v>1.1906792154826029</v>
      </c>
    </row>
    <row r="8" spans="1:9" ht="15.75" thickBot="1" x14ac:dyDescent="0.3">
      <c r="A8" s="9" t="s">
        <v>407</v>
      </c>
      <c r="B8" s="9">
        <v>250</v>
      </c>
    </row>
    <row r="10" spans="1:9" ht="15.75" thickBot="1" x14ac:dyDescent="0.3">
      <c r="A10" t="s">
        <v>408</v>
      </c>
    </row>
    <row r="11" spans="1:9" x14ac:dyDescent="0.25">
      <c r="A11" s="10"/>
      <c r="B11" s="10" t="s">
        <v>413</v>
      </c>
      <c r="C11" s="10" t="s">
        <v>414</v>
      </c>
      <c r="D11" s="10" t="s">
        <v>415</v>
      </c>
      <c r="E11" s="10" t="s">
        <v>416</v>
      </c>
      <c r="F11" s="10" t="s">
        <v>417</v>
      </c>
    </row>
    <row r="12" spans="1:9" x14ac:dyDescent="0.25">
      <c r="A12" t="s">
        <v>409</v>
      </c>
      <c r="B12">
        <v>1</v>
      </c>
      <c r="C12">
        <v>93.370185442795901</v>
      </c>
      <c r="D12">
        <v>93.370185442795901</v>
      </c>
      <c r="E12">
        <v>65.85953742950754</v>
      </c>
      <c r="F12">
        <v>2.2586478953147397E-14</v>
      </c>
    </row>
    <row r="13" spans="1:9" x14ac:dyDescent="0.25">
      <c r="A13" t="s">
        <v>410</v>
      </c>
      <c r="B13">
        <v>248</v>
      </c>
      <c r="C13">
        <v>351.59381455720211</v>
      </c>
      <c r="D13">
        <v>1.4177169941822665</v>
      </c>
    </row>
    <row r="14" spans="1:9" ht="15.75" thickBot="1" x14ac:dyDescent="0.3">
      <c r="A14" s="9" t="s">
        <v>411</v>
      </c>
      <c r="B14" s="9">
        <v>249</v>
      </c>
      <c r="C14" s="9">
        <v>444.96399999999801</v>
      </c>
      <c r="D14" s="9"/>
      <c r="E14" s="9"/>
      <c r="F14" s="9"/>
    </row>
    <row r="15" spans="1:9" ht="15.75" thickBot="1" x14ac:dyDescent="0.3"/>
    <row r="16" spans="1:9" x14ac:dyDescent="0.25">
      <c r="A16" s="10"/>
      <c r="B16" s="10" t="s">
        <v>418</v>
      </c>
      <c r="C16" s="10" t="s">
        <v>406</v>
      </c>
      <c r="D16" s="10" t="s">
        <v>419</v>
      </c>
      <c r="E16" s="10" t="s">
        <v>420</v>
      </c>
      <c r="F16" s="10" t="s">
        <v>421</v>
      </c>
      <c r="G16" s="10" t="s">
        <v>422</v>
      </c>
      <c r="H16" s="10" t="s">
        <v>423</v>
      </c>
      <c r="I16" s="10" t="s">
        <v>424</v>
      </c>
    </row>
    <row r="17" spans="1:9" x14ac:dyDescent="0.25">
      <c r="A17" t="s">
        <v>412</v>
      </c>
      <c r="B17">
        <v>2.4682560460750795</v>
      </c>
      <c r="C17">
        <v>0.10079722671468955</v>
      </c>
      <c r="D17">
        <v>24.487340837874179</v>
      </c>
      <c r="E17">
        <v>3.9188263388930073E-68</v>
      </c>
      <c r="F17">
        <v>2.2697282823847966</v>
      </c>
      <c r="G17">
        <v>2.6667838097653624</v>
      </c>
      <c r="H17">
        <v>2.2697282823847966</v>
      </c>
      <c r="I17">
        <v>2.6667838097653624</v>
      </c>
    </row>
    <row r="18" spans="1:9" ht="15.75" thickBot="1" x14ac:dyDescent="0.3">
      <c r="A18" s="9" t="s">
        <v>425</v>
      </c>
      <c r="B18" s="9">
        <v>5.9310844060989391E-4</v>
      </c>
      <c r="C18" s="9">
        <v>7.3084413572340146E-5</v>
      </c>
      <c r="D18" s="9">
        <v>8.115388926570855</v>
      </c>
      <c r="E18" s="9">
        <v>2.2586478953135327E-14</v>
      </c>
      <c r="F18" s="9">
        <v>4.4916315897827166E-4</v>
      </c>
      <c r="G18" s="9">
        <v>7.3705372224151615E-4</v>
      </c>
      <c r="H18" s="9">
        <v>4.4916315897827166E-4</v>
      </c>
      <c r="I18" s="9">
        <v>7.3705372224151615E-4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1CD09-B0B1-4D62-AB2F-21AE80449BBC}">
  <dimension ref="A1:M56"/>
  <sheetViews>
    <sheetView workbookViewId="0">
      <selection activeCell="I12" sqref="I12"/>
    </sheetView>
  </sheetViews>
  <sheetFormatPr defaultRowHeight="15" x14ac:dyDescent="0.25"/>
  <cols>
    <col min="1" max="1" width="20" style="12" bestFit="1" customWidth="1"/>
    <col min="2" max="2" width="16.7109375" bestFit="1" customWidth="1"/>
    <col min="3" max="3" width="15.85546875" bestFit="1" customWidth="1"/>
    <col min="5" max="5" width="12.85546875" bestFit="1" customWidth="1"/>
    <col min="7" max="7" width="11.140625" customWidth="1"/>
    <col min="8" max="8" width="13.28515625" bestFit="1" customWidth="1"/>
    <col min="9" max="9" width="10.5703125" bestFit="1" customWidth="1"/>
    <col min="12" max="12" width="12.85546875" bestFit="1" customWidth="1"/>
    <col min="13" max="13" width="11.28515625" bestFit="1" customWidth="1"/>
  </cols>
  <sheetData>
    <row r="1" spans="1:13" ht="15.75" x14ac:dyDescent="0.25">
      <c r="A1" s="27" t="s">
        <v>427</v>
      </c>
      <c r="B1" s="27" t="s">
        <v>428</v>
      </c>
      <c r="C1" s="27" t="s">
        <v>429</v>
      </c>
    </row>
    <row r="2" spans="1:13" x14ac:dyDescent="0.25">
      <c r="A2" s="13" t="str" cm="1">
        <f t="array" ref="A2:A51">_xlfn.UNIQUE(Data!C2:C251)</f>
        <v>CUST023</v>
      </c>
      <c r="B2" s="13" t="str">
        <f>_xlfn.XLOOKUP(A2,Data!C2:C251,Data!D2:D251)</f>
        <v>Paul Baker</v>
      </c>
      <c r="C2" s="20">
        <f>SUMIF(Data!C2:C251,Analysis!A2,Data!N2:N251)</f>
        <v>8309.739999999998</v>
      </c>
    </row>
    <row r="3" spans="1:13" x14ac:dyDescent="0.25">
      <c r="A3" s="13" t="str">
        <v>CUST013</v>
      </c>
      <c r="B3" s="13" t="str">
        <f>_xlfn.XLOOKUP(A3,Data!C3:C252,Data!D3:D252)</f>
        <v>Joseph Jackson</v>
      </c>
      <c r="C3" s="20">
        <f>SUMIF(Data!C3:C252,Analysis!A3,Data!N3:N252)</f>
        <v>6949.84</v>
      </c>
    </row>
    <row r="4" spans="1:13" x14ac:dyDescent="0.25">
      <c r="A4" s="13" t="str">
        <v>CUST021</v>
      </c>
      <c r="B4" s="13" t="str">
        <f>_xlfn.XLOOKUP(A4,Data!C4:C253,Data!D4:D253)</f>
        <v>Kevin Scott</v>
      </c>
      <c r="C4" s="20">
        <f>SUMIF(Data!C4:C253,Analysis!A4,Data!N4:N253)</f>
        <v>3259.87</v>
      </c>
      <c r="F4" s="28" t="s">
        <v>451</v>
      </c>
      <c r="G4" s="28"/>
      <c r="H4" s="22">
        <f>AVERAGE(Data!N2:N251)</f>
        <v>916.76988000000131</v>
      </c>
    </row>
    <row r="5" spans="1:13" x14ac:dyDescent="0.25">
      <c r="A5" s="13" t="str">
        <v>CUST046</v>
      </c>
      <c r="B5" s="13" t="str">
        <f>_xlfn.XLOOKUP(A5,Data!C5:C254,Data!D5:D254)</f>
        <v>Kathleen Bennett</v>
      </c>
      <c r="C5" s="20">
        <f>SUMIF(Data!C5:C254,Analysis!A5,Data!N5:N254)</f>
        <v>4309.8099999999995</v>
      </c>
    </row>
    <row r="6" spans="1:13" x14ac:dyDescent="0.25">
      <c r="A6" s="13" t="str">
        <v>CUST003</v>
      </c>
      <c r="B6" s="13" t="str">
        <f>_xlfn.XLOOKUP(A6,Data!C6:C255,Data!D6:D255)</f>
        <v>Michael Brown</v>
      </c>
      <c r="C6" s="20">
        <f>SUMIF(Data!C6:C255,Analysis!A6,Data!N6:N255)</f>
        <v>6169.7400000000007</v>
      </c>
      <c r="F6" s="28" t="s">
        <v>452</v>
      </c>
      <c r="G6" s="28"/>
      <c r="H6" s="14" t="str">
        <f>INDEX(B2:B51,MATCH(MAX(C2:C51),C2:C51,0))</f>
        <v>Mark Carter</v>
      </c>
      <c r="J6" s="28" t="s">
        <v>454</v>
      </c>
      <c r="K6" s="28"/>
      <c r="L6" s="28"/>
      <c r="M6" s="22">
        <f>INDEX(C2:C51,MATCH(H6,B2:B51,0))</f>
        <v>15659.65</v>
      </c>
    </row>
    <row r="7" spans="1:13" x14ac:dyDescent="0.25">
      <c r="A7" s="13" t="str">
        <v>CUST024</v>
      </c>
      <c r="B7" s="13" t="str">
        <f>_xlfn.XLOOKUP(A7,Data!C7:C256,Data!D7:D256)</f>
        <v>Dorothy Nelson</v>
      </c>
      <c r="C7" s="20">
        <f>SUMIF(Data!C7:C256,Analysis!A7,Data!N7:N256)</f>
        <v>8269.7900000000009</v>
      </c>
    </row>
    <row r="8" spans="1:13" x14ac:dyDescent="0.25">
      <c r="A8" s="13" t="str">
        <v>CUST017</v>
      </c>
      <c r="B8" s="13" t="str">
        <f>_xlfn.XLOOKUP(A8,Data!C8:C257,Data!D8:D257)</f>
        <v>Charles Allen</v>
      </c>
      <c r="C8" s="20">
        <f>SUMIF(Data!C8:C257,Analysis!A8,Data!N8:N257)</f>
        <v>5089.7300000000005</v>
      </c>
      <c r="F8" s="28" t="s">
        <v>453</v>
      </c>
      <c r="G8" s="28"/>
      <c r="H8" s="26">
        <f>GETPIVOTDATA("Total_Amount",'Pivot Table'!$L$10)</f>
        <v>229192.46999999997</v>
      </c>
    </row>
    <row r="9" spans="1:13" x14ac:dyDescent="0.25">
      <c r="A9" s="13" t="str">
        <v>CUST009</v>
      </c>
      <c r="B9" s="13" t="str">
        <f>_xlfn.XLOOKUP(A9,Data!C9:C258,Data!D9:D258)</f>
        <v>Robert Thomas</v>
      </c>
      <c r="C9" s="20">
        <f>SUMIF(Data!C9:C258,Analysis!A9,Data!N9:N258)</f>
        <v>3509.8999999999996</v>
      </c>
    </row>
    <row r="10" spans="1:13" ht="15.75" x14ac:dyDescent="0.25">
      <c r="A10" s="13" t="str">
        <v>CUST026</v>
      </c>
      <c r="B10" s="13" t="str">
        <f>_xlfn.XLOOKUP(A10,Data!C10:C259,Data!D10:D259)</f>
        <v>Karen Hill</v>
      </c>
      <c r="C10" s="20">
        <f>SUMIF(Data!C10:C259,Analysis!A10,Data!N10:N259)</f>
        <v>8009.7699999999995</v>
      </c>
      <c r="F10" s="29" t="s">
        <v>430</v>
      </c>
      <c r="G10" s="29"/>
      <c r="H10" s="14" t="str" cm="1">
        <f t="array" ref="H10">INDEX(Data!F2:F251, MODE(_xlfn.XMATCH(Data!F2:F251, Data!F2:F251)))</f>
        <v>Bookshelf</v>
      </c>
    </row>
    <row r="11" spans="1:13" x14ac:dyDescent="0.25">
      <c r="A11" s="13" t="str">
        <v>CUST022</v>
      </c>
      <c r="B11" s="13" t="str">
        <f>_xlfn.XLOOKUP(A11,Data!C11:C260,Data!D11:D260)</f>
        <v>Susan Green</v>
      </c>
      <c r="C11" s="20">
        <f>SUMIF(Data!C11:C260,Analysis!A11,Data!N11:N260)</f>
        <v>1979.89</v>
      </c>
    </row>
    <row r="12" spans="1:13" x14ac:dyDescent="0.25">
      <c r="A12" s="13" t="str">
        <v>CUST041</v>
      </c>
      <c r="B12" s="13" t="str">
        <f>_xlfn.XLOOKUP(A12,Data!C12:C261,Data!D12:D261)</f>
        <v>Peter Richardson</v>
      </c>
      <c r="C12" s="20">
        <f>SUMIF(Data!C12:C261,Analysis!A12,Data!N12:N261)</f>
        <v>5949.85</v>
      </c>
      <c r="F12" s="28" t="s">
        <v>467</v>
      </c>
      <c r="G12" s="28"/>
      <c r="H12" s="28"/>
      <c r="I12" s="14" t="str">
        <f>'Pivot Table'!I25</f>
        <v>Cash</v>
      </c>
    </row>
    <row r="13" spans="1:13" x14ac:dyDescent="0.25">
      <c r="A13" s="13" t="str">
        <v>CUST043</v>
      </c>
      <c r="B13" s="13" t="str">
        <f>_xlfn.XLOOKUP(A13,Data!C13:C262,Data!D13:D262)</f>
        <v>Dennis Gray</v>
      </c>
      <c r="C13" s="20">
        <f>SUMIF(Data!C13:C262,Analysis!A13,Data!N13:N262)</f>
        <v>479.91999999999996</v>
      </c>
    </row>
    <row r="14" spans="1:13" x14ac:dyDescent="0.25">
      <c r="A14" s="13" t="str">
        <v>CUST038</v>
      </c>
      <c r="B14" s="13" t="str">
        <f>_xlfn.XLOOKUP(A14,Data!C14:C263,Data!D14:D263)</f>
        <v>Michelle Rogers</v>
      </c>
      <c r="C14" s="20">
        <f>SUMIF(Data!C14:C263,Analysis!A14,Data!N14:N263)</f>
        <v>4199.9399999999996</v>
      </c>
      <c r="F14" s="28" t="s">
        <v>456</v>
      </c>
      <c r="G14" s="28"/>
      <c r="H14" s="28"/>
      <c r="I14" s="14" t="str">
        <f>'Pivot Table'!L25</f>
        <v>PayPal</v>
      </c>
    </row>
    <row r="15" spans="1:13" x14ac:dyDescent="0.25">
      <c r="A15" s="13" t="str">
        <v>CUST027</v>
      </c>
      <c r="B15" s="13" t="str">
        <f>_xlfn.XLOOKUP(A15,Data!C15:C264,Data!D15:D264)</f>
        <v>George Adams</v>
      </c>
      <c r="C15" s="20">
        <f>SUMIF(Data!C15:C264,Analysis!A15,Data!N15:N264)</f>
        <v>3779.93</v>
      </c>
    </row>
    <row r="16" spans="1:13" x14ac:dyDescent="0.25">
      <c r="A16" s="13" t="str">
        <v>CUST025</v>
      </c>
      <c r="B16" s="13" t="str">
        <f>_xlfn.XLOOKUP(A16,Data!C16:C265,Data!D16:D265)</f>
        <v>Mark Carter</v>
      </c>
      <c r="C16" s="20">
        <f>SUMIF(Data!C16:C265,Analysis!A16,Data!N16:N265)</f>
        <v>15659.65</v>
      </c>
      <c r="F16" s="30" t="s">
        <v>460</v>
      </c>
      <c r="G16" s="31"/>
      <c r="H16" s="32"/>
      <c r="I16" s="14" t="str">
        <f>'Pivot Table'!C3</f>
        <v>Electronics</v>
      </c>
      <c r="K16" s="25" t="s">
        <v>462</v>
      </c>
      <c r="L16" s="25">
        <f>GETPIVOTDATA("Product_Name",'Pivot Table'!$A$2,"Category","Electronics")</f>
        <v>131</v>
      </c>
    </row>
    <row r="17" spans="1:12" x14ac:dyDescent="0.25">
      <c r="A17" s="13" t="str">
        <v>CUST010</v>
      </c>
      <c r="B17" s="13" t="str">
        <f>_xlfn.XLOOKUP(A17,Data!C17:C266,Data!D17:D266)</f>
        <v>Maria Garcia</v>
      </c>
      <c r="C17" s="20">
        <f>SUMIF(Data!C17:C266,Analysis!A17,Data!N17:N266)</f>
        <v>1909.93</v>
      </c>
    </row>
    <row r="18" spans="1:12" x14ac:dyDescent="0.25">
      <c r="A18" s="13" t="str">
        <v>CUST048</v>
      </c>
      <c r="B18" s="13" t="str">
        <f>_xlfn.XLOOKUP(A18,Data!C18:C267,Data!D18:D267)</f>
        <v>Virginia Sanders</v>
      </c>
      <c r="C18" s="20">
        <f>SUMIF(Data!C18:C267,Analysis!A18,Data!N18:N267)</f>
        <v>4789.7900000000009</v>
      </c>
      <c r="F18" s="28" t="s">
        <v>461</v>
      </c>
      <c r="G18" s="28"/>
      <c r="H18" s="28"/>
      <c r="I18" s="14" t="str">
        <f>'Pivot Table'!B3</f>
        <v>Appliances</v>
      </c>
      <c r="K18" s="14" t="s">
        <v>462</v>
      </c>
      <c r="L18" s="14">
        <f>GETPIVOTDATA("Product_Name",'Pivot Table'!$A$2,"Category","Appliances")</f>
        <v>43</v>
      </c>
    </row>
    <row r="19" spans="1:12" x14ac:dyDescent="0.25">
      <c r="A19" s="13" t="str">
        <v>CUST018</v>
      </c>
      <c r="B19" s="13" t="str">
        <f>_xlfn.XLOOKUP(A19,Data!C19:C268,Data!D19:D268)</f>
        <v>Barbara Young</v>
      </c>
      <c r="C19" s="20">
        <f>SUMIF(Data!C19:C268,Analysis!A19,Data!N19:N268)</f>
        <v>10649.8</v>
      </c>
    </row>
    <row r="20" spans="1:12" x14ac:dyDescent="0.25">
      <c r="A20" s="13" t="str">
        <v>CUST012</v>
      </c>
      <c r="B20" s="13" t="str">
        <f>_xlfn.XLOOKUP(A20,Data!C20:C269,Data!D20:D269)</f>
        <v>Patricia Moore</v>
      </c>
      <c r="C20" s="20">
        <f>SUMIF(Data!C20:C269,Analysis!A20,Data!N20:N269)</f>
        <v>9799.73</v>
      </c>
      <c r="F20" s="28" t="s">
        <v>457</v>
      </c>
      <c r="G20" s="28"/>
      <c r="H20" s="28"/>
      <c r="I20" s="14" t="str">
        <f>'Pivot Table'!D25</f>
        <v>Electronics</v>
      </c>
      <c r="K20" s="14" t="s">
        <v>459</v>
      </c>
      <c r="L20" s="22">
        <f>GETPIVOTDATA("Total_Amount",'Pivot Table'!$B$24,"Category","Electronics")</f>
        <v>171756.04999999996</v>
      </c>
    </row>
    <row r="21" spans="1:12" x14ac:dyDescent="0.25">
      <c r="A21" s="13" t="str">
        <v>CUST044</v>
      </c>
      <c r="B21" s="13" t="str">
        <f>_xlfn.XLOOKUP(A21,Data!C21:C270,Data!D21:D270)</f>
        <v>Cynthia Price</v>
      </c>
      <c r="C21" s="20">
        <f>SUMIF(Data!C21:C270,Analysis!A21,Data!N21:N270)</f>
        <v>3769.8300000000004</v>
      </c>
    </row>
    <row r="22" spans="1:12" x14ac:dyDescent="0.25">
      <c r="A22" s="13" t="str">
        <v>CUST036</v>
      </c>
      <c r="B22" s="13" t="str">
        <f>_xlfn.XLOOKUP(A22,Data!C22:C271,Data!D22:D271)</f>
        <v>Nancy Collins</v>
      </c>
      <c r="C22" s="20">
        <f>SUMIF(Data!C22:C271,Analysis!A22,Data!N22:N271)</f>
        <v>4189.7700000000004</v>
      </c>
      <c r="F22" s="28" t="s">
        <v>458</v>
      </c>
      <c r="G22" s="28"/>
      <c r="H22" s="28"/>
      <c r="I22" s="14" t="str">
        <f>'Pivot Table'!C25</f>
        <v>Appliances</v>
      </c>
      <c r="K22" s="14" t="s">
        <v>459</v>
      </c>
      <c r="L22" s="22">
        <f>GETPIVOTDATA("Total_Amount",'Pivot Table'!$B$24,"Category","Appliances")</f>
        <v>8338.74</v>
      </c>
    </row>
    <row r="23" spans="1:12" x14ac:dyDescent="0.25">
      <c r="A23" s="13" t="str">
        <v>CUST014</v>
      </c>
      <c r="B23" s="13" t="str">
        <f>_xlfn.XLOOKUP(A23,Data!C23:C272,Data!D23:D272)</f>
        <v>Linda Martin</v>
      </c>
      <c r="C23" s="20">
        <f>SUMIF(Data!C23:C272,Analysis!A23,Data!N23:N272)</f>
        <v>1289.9000000000001</v>
      </c>
    </row>
    <row r="24" spans="1:12" x14ac:dyDescent="0.25">
      <c r="A24" s="13" t="str">
        <v>CUST030</v>
      </c>
      <c r="B24" s="13" t="str">
        <f>_xlfn.XLOOKUP(A24,Data!C24:C273,Data!D24:D273)</f>
        <v>Helen Roberts</v>
      </c>
      <c r="C24" s="20">
        <f>SUMIF(Data!C24:C273,Analysis!A24,Data!N24:N273)</f>
        <v>6459.79</v>
      </c>
      <c r="F24" s="28" t="s">
        <v>463</v>
      </c>
      <c r="G24" s="28"/>
      <c r="H24" s="28"/>
      <c r="I24" s="14" t="str">
        <f>'Pivot Table'!B35</f>
        <v>Dec</v>
      </c>
      <c r="K24" s="14" t="s">
        <v>464</v>
      </c>
      <c r="L24" s="22">
        <f>GETPIVOTDATA("Total_Amount",'Pivot Table'!$B$24,"Months (Date)",12,"Years (Date)",2024)</f>
        <v>23039.299999999996</v>
      </c>
    </row>
    <row r="25" spans="1:12" x14ac:dyDescent="0.25">
      <c r="A25" s="13" t="str">
        <v>CUST029</v>
      </c>
      <c r="B25" s="13" t="str">
        <f>_xlfn.XLOOKUP(A25,Data!C25:C274,Data!D25:D274)</f>
        <v>Edward Mitchell</v>
      </c>
      <c r="C25" s="20">
        <f>SUMIF(Data!C25:C274,Analysis!A25,Data!N25:N274)</f>
        <v>11919.769999999999</v>
      </c>
    </row>
    <row r="26" spans="1:12" x14ac:dyDescent="0.25">
      <c r="A26" s="13" t="str">
        <v>CUST006</v>
      </c>
      <c r="B26" s="13" t="str">
        <f>_xlfn.XLOOKUP(A26,Data!C26:C275,Data!D26:D275)</f>
        <v>Lisa Anderson</v>
      </c>
      <c r="C26" s="20">
        <f>SUMIF(Data!C26:C275,Analysis!A26,Data!N26:N275)</f>
        <v>2039.8000000000002</v>
      </c>
      <c r="F26" s="28" t="s">
        <v>465</v>
      </c>
      <c r="G26" s="28"/>
      <c r="H26" s="22">
        <f>GETPIVOTDATA("Total_Amount",'Pivot Table'!$B$24,"Years (Date)",2024)</f>
        <v>160444.72999999995</v>
      </c>
    </row>
    <row r="27" spans="1:12" x14ac:dyDescent="0.25">
      <c r="A27" s="13" t="str">
        <v>CUST002</v>
      </c>
      <c r="B27" s="13" t="str">
        <f>_xlfn.XLOOKUP(A27,Data!C27:C276,Data!D27:D276)</f>
        <v>Emma Wilson</v>
      </c>
      <c r="C27" s="20">
        <f>SUMIF(Data!C27:C276,Analysis!A27,Data!N27:N276)</f>
        <v>1229.8800000000001</v>
      </c>
    </row>
    <row r="28" spans="1:12" x14ac:dyDescent="0.25">
      <c r="A28" s="13" t="str">
        <v>CUST031</v>
      </c>
      <c r="B28" s="13" t="str">
        <f>_xlfn.XLOOKUP(A28,Data!C28:C277,Data!D28:D277)</f>
        <v>Steven Turner</v>
      </c>
      <c r="C28" s="20">
        <f>SUMIF(Data!C28:C277,Analysis!A28,Data!N28:N277)</f>
        <v>2649.83</v>
      </c>
      <c r="F28" s="28" t="s">
        <v>466</v>
      </c>
      <c r="G28" s="28"/>
      <c r="H28" s="22">
        <f>GETPIVOTDATA("Total_Amount",'Pivot Table'!$B$24,"Years (Date)",2025)</f>
        <v>68747.739999999991</v>
      </c>
    </row>
    <row r="29" spans="1:12" x14ac:dyDescent="0.25">
      <c r="A29" s="13" t="str">
        <v>CUST008</v>
      </c>
      <c r="B29" s="13" t="str">
        <f>_xlfn.XLOOKUP(A29,Data!C29:C278,Data!D29:D278)</f>
        <v>Jennifer Taylor</v>
      </c>
      <c r="C29" s="20">
        <f>SUMIF(Data!C29:C278,Analysis!A29,Data!N29:N278)</f>
        <v>4739.8500000000004</v>
      </c>
    </row>
    <row r="30" spans="1:12" x14ac:dyDescent="0.25">
      <c r="A30" s="13" t="str">
        <v>CUST035</v>
      </c>
      <c r="B30" s="13" t="str">
        <f>_xlfn.XLOOKUP(A30,Data!C30:C279,Data!D30:D279)</f>
        <v>Harry Morgan</v>
      </c>
      <c r="C30" s="20">
        <f>SUMIF(Data!C30:C279,Analysis!A30,Data!N30:N279)</f>
        <v>5519.8899999999994</v>
      </c>
    </row>
    <row r="31" spans="1:12" x14ac:dyDescent="0.25">
      <c r="A31" s="13" t="str">
        <v>CUST019</v>
      </c>
      <c r="B31" s="13" t="str">
        <f>_xlfn.XLOOKUP(A31,Data!C31:C280,Data!D31:D280)</f>
        <v>Daniel King</v>
      </c>
      <c r="C31" s="20">
        <f>SUMIF(Data!C31:C280,Analysis!A31,Data!N31:N280)</f>
        <v>7309.7999999999993</v>
      </c>
    </row>
    <row r="32" spans="1:12" x14ac:dyDescent="0.25">
      <c r="A32" s="13" t="str">
        <v>CUST040</v>
      </c>
      <c r="B32" s="13" t="str">
        <f>_xlfn.XLOOKUP(A32,Data!C32:C281,Data!D32:D281)</f>
        <v>Sharon Butler</v>
      </c>
      <c r="C32" s="20">
        <f>SUMIF(Data!C32:C281,Analysis!A32,Data!N32:N281)</f>
        <v>5619.869999999999</v>
      </c>
    </row>
    <row r="33" spans="1:3" x14ac:dyDescent="0.25">
      <c r="A33" s="13" t="str">
        <v>CUST004</v>
      </c>
      <c r="B33" s="13" t="str">
        <f>_xlfn.XLOOKUP(A33,Data!C33:C282,Data!D33:D282)</f>
        <v>Sarah Davis</v>
      </c>
      <c r="C33" s="20">
        <f>SUMIF(Data!C33:C282,Analysis!A33,Data!N33:N282)</f>
        <v>5499.8099999999995</v>
      </c>
    </row>
    <row r="34" spans="1:3" x14ac:dyDescent="0.25">
      <c r="A34" s="13" t="str">
        <v>CUST028</v>
      </c>
      <c r="B34" s="13" t="str">
        <f>_xlfn.XLOOKUP(A34,Data!C34:C283,Data!D34:D283)</f>
        <v>Betty Campbell</v>
      </c>
      <c r="C34" s="20">
        <f>SUMIF(Data!C34:C283,Analysis!A34,Data!N34:N283)</f>
        <v>5649.84</v>
      </c>
    </row>
    <row r="35" spans="1:3" x14ac:dyDescent="0.25">
      <c r="A35" s="13" t="str">
        <v>CUST050</v>
      </c>
      <c r="B35" s="13" t="str">
        <f>_xlfn.XLOOKUP(A35,Data!C35:C284,Data!D35:D284)</f>
        <v>Julie Foster</v>
      </c>
      <c r="C35" s="20">
        <f>SUMIF(Data!C35:C284,Analysis!A35,Data!N35:N284)</f>
        <v>239.96</v>
      </c>
    </row>
    <row r="36" spans="1:3" x14ac:dyDescent="0.25">
      <c r="A36" s="13" t="str">
        <v>CUST049</v>
      </c>
      <c r="B36" s="13" t="str">
        <f>_xlfn.XLOOKUP(A36,Data!C36:C285,Data!D36:D285)</f>
        <v>Raymond Ross</v>
      </c>
      <c r="C36" s="20">
        <f>SUMIF(Data!C36:C285,Analysis!A36,Data!N36:N285)</f>
        <v>3669.8500000000004</v>
      </c>
    </row>
    <row r="37" spans="1:3" x14ac:dyDescent="0.25">
      <c r="A37" s="13" t="str">
        <v>CUST007</v>
      </c>
      <c r="B37" s="13" t="str">
        <f>_xlfn.XLOOKUP(A37,Data!C37:C286,Data!D37:D286)</f>
        <v>David Martinez</v>
      </c>
      <c r="C37" s="20">
        <f>SUMIF(Data!C37:C286,Analysis!A37,Data!N37:N286)</f>
        <v>1809.84</v>
      </c>
    </row>
    <row r="38" spans="1:3" x14ac:dyDescent="0.25">
      <c r="A38" s="13" t="str">
        <v>CUST020</v>
      </c>
      <c r="B38" s="13" t="str">
        <f>_xlfn.XLOOKUP(A38,Data!C38:C287,Data!D38:D287)</f>
        <v>Margaret Wright</v>
      </c>
      <c r="C38" s="20">
        <f>SUMIF(Data!C38:C287,Analysis!A38,Data!N38:N287)</f>
        <v>2099.88</v>
      </c>
    </row>
    <row r="39" spans="1:3" x14ac:dyDescent="0.25">
      <c r="A39" s="13" t="str">
        <v>CUST033</v>
      </c>
      <c r="B39" s="13" t="str">
        <f>_xlfn.XLOOKUP(A39,Data!C39:C288,Data!D39:D288)</f>
        <v>Frank Torres</v>
      </c>
      <c r="C39" s="20">
        <f>SUMIF(Data!C39:C288,Analysis!A39,Data!N39:N288)</f>
        <v>1479.91</v>
      </c>
    </row>
    <row r="40" spans="1:3" x14ac:dyDescent="0.25">
      <c r="A40" s="13" t="str">
        <v>CUST047</v>
      </c>
      <c r="B40" s="13" t="str">
        <f>_xlfn.XLOOKUP(A40,Data!C40:C289,Data!D40:D289)</f>
        <v>Gerald Murphy</v>
      </c>
      <c r="C40" s="20">
        <f>SUMIF(Data!C40:C289,Analysis!A40,Data!N40:N289)</f>
        <v>6379.87</v>
      </c>
    </row>
    <row r="41" spans="1:3" x14ac:dyDescent="0.25">
      <c r="A41" s="13" t="str">
        <v>CUST016</v>
      </c>
      <c r="B41" s="13" t="str">
        <f>_xlfn.XLOOKUP(A41,Data!C41:C290,Data!D41:D290)</f>
        <v>Elizabeth Hall</v>
      </c>
      <c r="C41" s="20">
        <f>SUMIF(Data!C41:C290,Analysis!A41,Data!N41:N290)</f>
        <v>3649.8599999999997</v>
      </c>
    </row>
    <row r="42" spans="1:3" x14ac:dyDescent="0.25">
      <c r="A42" s="13" t="str">
        <v>CUST039</v>
      </c>
      <c r="B42" s="13" t="str">
        <f>_xlfn.XLOOKUP(A42,Data!C42:C291,Data!D42:D291)</f>
        <v>Lawrence Reed</v>
      </c>
      <c r="C42" s="20">
        <f>SUMIF(Data!C42:C291,Analysis!A42,Data!N42:N291)</f>
        <v>6989.7699999999986</v>
      </c>
    </row>
    <row r="43" spans="1:3" x14ac:dyDescent="0.25">
      <c r="A43" s="13" t="str">
        <v>CUST034</v>
      </c>
      <c r="B43" s="13" t="str">
        <f>_xlfn.XLOOKUP(A43,Data!C43:C292,Data!D43:D292)</f>
        <v>Carol Evans</v>
      </c>
      <c r="C43" s="20">
        <f>SUMIF(Data!C43:C292,Analysis!A43,Data!N43:N292)</f>
        <v>1149.93</v>
      </c>
    </row>
    <row r="44" spans="1:3" x14ac:dyDescent="0.25">
      <c r="A44" s="13" t="str">
        <v>CUST032</v>
      </c>
      <c r="B44" s="13" t="str">
        <f>_xlfn.XLOOKUP(A44,Data!C44:C293,Data!D44:D293)</f>
        <v>Sandra Phillips</v>
      </c>
      <c r="C44" s="20">
        <f>SUMIF(Data!C44:C293,Analysis!A44,Data!N44:N293)</f>
        <v>6349.83</v>
      </c>
    </row>
    <row r="45" spans="1:3" x14ac:dyDescent="0.25">
      <c r="A45" s="13" t="str">
        <v>CUST042</v>
      </c>
      <c r="B45" s="13" t="str">
        <f>_xlfn.XLOOKUP(A45,Data!C45:C294,Data!D45:D294)</f>
        <v>Ruth Brooks</v>
      </c>
      <c r="C45" s="20">
        <f>SUMIF(Data!C45:C294,Analysis!A45,Data!N45:N294)</f>
        <v>1749.92</v>
      </c>
    </row>
    <row r="46" spans="1:3" x14ac:dyDescent="0.25">
      <c r="A46" s="13" t="str">
        <v>CUST011</v>
      </c>
      <c r="B46" s="13" t="str">
        <f>_xlfn.XLOOKUP(A46,Data!C46:C295,Data!D46:D295)</f>
        <v>William White</v>
      </c>
      <c r="C46" s="20">
        <f>SUMIF(Data!C46:C295,Analysis!A46,Data!N46:N295)</f>
        <v>4749.91</v>
      </c>
    </row>
    <row r="47" spans="1:3" x14ac:dyDescent="0.25">
      <c r="A47" s="13" t="str">
        <v>CUST015</v>
      </c>
      <c r="B47" s="13" t="str">
        <f>_xlfn.XLOOKUP(A47,Data!C47:C296,Data!D47:D296)</f>
        <v>Richard Lee</v>
      </c>
      <c r="C47" s="20">
        <f>SUMIF(Data!C47:C296,Analysis!A47,Data!N47:N296)</f>
        <v>739.93000000000006</v>
      </c>
    </row>
    <row r="48" spans="1:3" x14ac:dyDescent="0.25">
      <c r="A48" s="13" t="str">
        <v>CUST045</v>
      </c>
      <c r="B48" s="13" t="str">
        <f>_xlfn.XLOOKUP(A48,Data!C48:C297,Data!D48:D297)</f>
        <v>Douglas Watson</v>
      </c>
      <c r="C48" s="20">
        <f>SUMIF(Data!C48:C297,Analysis!A48,Data!N48:N297)</f>
        <v>4829.8899999999994</v>
      </c>
    </row>
    <row r="49" spans="1:5" x14ac:dyDescent="0.25">
      <c r="A49" s="13" t="str">
        <v>CUST005</v>
      </c>
      <c r="B49" s="13" t="str">
        <f>_xlfn.XLOOKUP(A49,Data!C49:C298,Data!D49:D298)</f>
        <v>James Johnson</v>
      </c>
      <c r="C49" s="20">
        <f>SUMIF(Data!C49:C298,Analysis!A49,Data!N49:N298)</f>
        <v>179.97</v>
      </c>
    </row>
    <row r="50" spans="1:5" x14ac:dyDescent="0.25">
      <c r="A50" s="13" t="str">
        <v>CUST037</v>
      </c>
      <c r="B50" s="13" t="str">
        <f>_xlfn.XLOOKUP(A50,Data!C50:C299,Data!D50:D299)</f>
        <v>Arthur Edwards</v>
      </c>
      <c r="C50" s="20">
        <f>SUMIF(Data!C50:C299,Analysis!A50,Data!N50:N299)</f>
        <v>1559.94</v>
      </c>
    </row>
    <row r="51" spans="1:5" x14ac:dyDescent="0.25">
      <c r="A51" s="13" t="str">
        <v>CUST001</v>
      </c>
      <c r="B51" s="13" t="str">
        <f>_xlfn.XLOOKUP(A51,Data!C51:C300,Data!D51:D300)</f>
        <v>John Smith</v>
      </c>
      <c r="C51" s="20">
        <f>SUMIF(Data!C51:C300,Analysis!A51,Data!N51:N300)</f>
        <v>599.96</v>
      </c>
    </row>
    <row r="56" spans="1:5" x14ac:dyDescent="0.25">
      <c r="E56" s="21"/>
    </row>
  </sheetData>
  <sortState xmlns:xlrd2="http://schemas.microsoft.com/office/spreadsheetml/2017/richdata2" ref="C2:C51">
    <sortCondition descending="1" ref="C2:C51"/>
  </sortState>
  <mergeCells count="14">
    <mergeCell ref="F4:G4"/>
    <mergeCell ref="F6:G6"/>
    <mergeCell ref="F8:G8"/>
    <mergeCell ref="F28:G28"/>
    <mergeCell ref="F20:H20"/>
    <mergeCell ref="F22:H22"/>
    <mergeCell ref="F16:H16"/>
    <mergeCell ref="F24:H24"/>
    <mergeCell ref="F26:G26"/>
    <mergeCell ref="J6:L6"/>
    <mergeCell ref="F10:G10"/>
    <mergeCell ref="F12:H12"/>
    <mergeCell ref="F14:H14"/>
    <mergeCell ref="F18:H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Data</vt:lpstr>
      <vt:lpstr>Pivot Table</vt:lpstr>
      <vt:lpstr>Regression</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Niv Shankar</dc:creator>
  <cp:lastModifiedBy>Niv Shankar</cp:lastModifiedBy>
  <dcterms:created xsi:type="dcterms:W3CDTF">2026-09-14T11:25:44Z</dcterms:created>
  <dcterms:modified xsi:type="dcterms:W3CDTF">2026-09-18T12:51:01Z</dcterms:modified>
</cp:coreProperties>
</file>