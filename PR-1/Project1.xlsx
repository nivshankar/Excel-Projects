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3DE3D634AF61DEF/Documents/"/>
    </mc:Choice>
  </mc:AlternateContent>
  <xr:revisionPtr revIDLastSave="320" documentId="8_{58837E4E-208D-4DF6-8100-F82E30205F7E}" xr6:coauthVersionLast="47" xr6:coauthVersionMax="47" xr10:uidLastSave="{5959F663-1939-4D8B-99FC-9D56636915C7}"/>
  <bookViews>
    <workbookView xWindow="-120" yWindow="-120" windowWidth="29040" windowHeight="15720" activeTab="2" xr2:uid="{92314A4D-4ACA-45C3-A91E-B374281D1589}"/>
  </bookViews>
  <sheets>
    <sheet name="Student_Data" sheetId="1" r:id="rId1"/>
    <sheet name="Employees" sheetId="2" r:id="rId2"/>
    <sheet name="Sales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" i="3" l="1"/>
  <c r="L2" i="3" s="1"/>
  <c r="I19" i="3"/>
  <c r="I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2" i="3"/>
  <c r="F18" i="3"/>
  <c r="F19" i="3"/>
  <c r="B18" i="3"/>
  <c r="B19" i="3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2" i="3"/>
  <c r="I5" i="2"/>
  <c r="C22" i="2"/>
  <c r="C23" i="2"/>
  <c r="B20" i="2"/>
  <c r="C18" i="2"/>
  <c r="D20" i="2" s="1"/>
  <c r="E20" i="2"/>
  <c r="C20" i="2"/>
  <c r="C20" i="1"/>
  <c r="D1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2" i="1"/>
  <c r="L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J3" i="1"/>
  <c r="J1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H3" i="1"/>
  <c r="H4" i="1"/>
  <c r="J4" i="1" s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H13" i="1"/>
  <c r="J13" i="1" s="1"/>
  <c r="H14" i="1"/>
  <c r="J14" i="1" s="1"/>
  <c r="H15" i="1"/>
  <c r="J15" i="1" s="1"/>
  <c r="H2" i="1"/>
  <c r="J2" i="1" s="1"/>
</calcChain>
</file>

<file path=xl/sharedStrings.xml><?xml version="1.0" encoding="utf-8"?>
<sst xmlns="http://schemas.openxmlformats.org/spreadsheetml/2006/main" count="197" uniqueCount="135">
  <si>
    <t>First Name</t>
  </si>
  <si>
    <t>Last Name</t>
  </si>
  <si>
    <t>English</t>
  </si>
  <si>
    <t>Maths</t>
  </si>
  <si>
    <t>Science</t>
  </si>
  <si>
    <t>Total</t>
  </si>
  <si>
    <t>Result</t>
  </si>
  <si>
    <t>Statistics</t>
  </si>
  <si>
    <t>Liam</t>
  </si>
  <si>
    <t>Smith</t>
  </si>
  <si>
    <t>Olivia</t>
  </si>
  <si>
    <t>Johnson</t>
  </si>
  <si>
    <t>Noah</t>
  </si>
  <si>
    <t>Williams</t>
  </si>
  <si>
    <t>Emma</t>
  </si>
  <si>
    <t>Brown</t>
  </si>
  <si>
    <t>Oliver</t>
  </si>
  <si>
    <t>Jones</t>
  </si>
  <si>
    <t>Ava</t>
  </si>
  <si>
    <t>Garcia</t>
  </si>
  <si>
    <t>Elijah</t>
  </si>
  <si>
    <t>Miller</t>
  </si>
  <si>
    <t>Charlotte</t>
  </si>
  <si>
    <t>Davis</t>
  </si>
  <si>
    <t>Sophia</t>
  </si>
  <si>
    <t>Rodriguez</t>
  </si>
  <si>
    <t>James</t>
  </si>
  <si>
    <t>Wilson</t>
  </si>
  <si>
    <t>Isabella</t>
  </si>
  <si>
    <t>Martinez</t>
  </si>
  <si>
    <t>Benjamin</t>
  </si>
  <si>
    <t>Anderson</t>
  </si>
  <si>
    <t>Mia</t>
  </si>
  <si>
    <t>Thomas</t>
  </si>
  <si>
    <t>Lucas</t>
  </si>
  <si>
    <t>Taylor</t>
  </si>
  <si>
    <t>Roll No.</t>
  </si>
  <si>
    <t>Grade</t>
  </si>
  <si>
    <t>Science &amp; Maths &gt; 80</t>
  </si>
  <si>
    <t>Maths &gt; 50</t>
  </si>
  <si>
    <t>Average Mark for student above 60</t>
  </si>
  <si>
    <t>Average Marks</t>
  </si>
  <si>
    <t>Student ID</t>
  </si>
  <si>
    <t>Name Using Vlookup</t>
  </si>
  <si>
    <t xml:space="preserve">Emp ID </t>
  </si>
  <si>
    <t xml:space="preserve">Full Name </t>
  </si>
  <si>
    <t>Department</t>
  </si>
  <si>
    <t>Annual Salary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</si>
  <si>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</si>
  <si>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</si>
  <si>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</si>
  <si>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</si>
  <si>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</si>
  <si>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</si>
  <si>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</si>
  <si>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</si>
  <si>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</si>
  <si>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</si>
  <si>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</si>
  <si>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</si>
  <si>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</si>
  <si>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</si>
  <si>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EMP015</t>
  </si>
  <si>
    <t>John Smith</t>
  </si>
  <si>
    <t xml:space="preserve">Joining Date </t>
  </si>
  <si>
    <t>Jane Doe</t>
  </si>
  <si>
    <t>HR</t>
  </si>
  <si>
    <t>IT</t>
  </si>
  <si>
    <t>Michael Brown</t>
  </si>
  <si>
    <t>Sales</t>
  </si>
  <si>
    <t>Emily Davis</t>
  </si>
  <si>
    <t>Marketing</t>
  </si>
  <si>
    <t>David Wilson</t>
  </si>
  <si>
    <t>Finance</t>
  </si>
  <si>
    <t>Sarah Miller</t>
  </si>
  <si>
    <t>Operations</t>
  </si>
  <si>
    <t>James Taylor</t>
  </si>
  <si>
    <t>Amanda Thomas</t>
  </si>
  <si>
    <t>Robert Jackson</t>
  </si>
  <si>
    <t>Lisa White</t>
  </si>
  <si>
    <t>William Harris</t>
  </si>
  <si>
    <t>Megan Martin</t>
  </si>
  <si>
    <t>Kevin Garcia</t>
  </si>
  <si>
    <t>Rachel Martinez</t>
  </si>
  <si>
    <t>Brian Robinson</t>
  </si>
  <si>
    <t xml:space="preserve">Employee  ID </t>
  </si>
  <si>
    <t>Details:</t>
  </si>
  <si>
    <t xml:space="preserve">Name </t>
  </si>
  <si>
    <t xml:space="preserve">Department </t>
  </si>
  <si>
    <t>E</t>
  </si>
  <si>
    <t>Dynamic refernce using cell G3</t>
  </si>
  <si>
    <t>Average Salary</t>
  </si>
  <si>
    <t>Sales ID</t>
  </si>
  <si>
    <t>Product Code</t>
  </si>
  <si>
    <t>Product</t>
  </si>
  <si>
    <t>Region</t>
  </si>
  <si>
    <t>Salesperson</t>
  </si>
  <si>
    <t>Amount</t>
  </si>
  <si>
    <t>Date</t>
  </si>
  <si>
    <t>TXN101</t>
  </si>
  <si>
    <t>TXN102</t>
  </si>
  <si>
    <t>TXN103</t>
  </si>
  <si>
    <t>TXN104</t>
  </si>
  <si>
    <t>TXN105</t>
  </si>
  <si>
    <t>TXN106</t>
  </si>
  <si>
    <t>TXN107</t>
  </si>
  <si>
    <t>TXN108</t>
  </si>
  <si>
    <t>TXN109</t>
  </si>
  <si>
    <t>TXN110</t>
  </si>
  <si>
    <t>TXN111</t>
  </si>
  <si>
    <t>TXN112</t>
  </si>
  <si>
    <t>TXN113</t>
  </si>
  <si>
    <t>TXN114</t>
  </si>
  <si>
    <t>TXN115</t>
  </si>
  <si>
    <t>PRD-01</t>
  </si>
  <si>
    <t>PRD-02</t>
  </si>
  <si>
    <t>PRD-03</t>
  </si>
  <si>
    <t>PRD-04</t>
  </si>
  <si>
    <t>PRD-05</t>
  </si>
  <si>
    <t>Keyboard</t>
  </si>
  <si>
    <t>Desk Chair</t>
  </si>
  <si>
    <t>Laptop</t>
  </si>
  <si>
    <t>USB-C Hub</t>
  </si>
  <si>
    <t>Monitor</t>
  </si>
  <si>
    <t>North</t>
  </si>
  <si>
    <t>South</t>
  </si>
  <si>
    <t>East</t>
  </si>
  <si>
    <t>West</t>
  </si>
  <si>
    <t>Discounts</t>
  </si>
  <si>
    <t>Total Sales</t>
  </si>
  <si>
    <t xml:space="preserve">Product Code </t>
  </si>
  <si>
    <t>Uppercase Names</t>
  </si>
  <si>
    <t>Sales Person</t>
  </si>
  <si>
    <t>Performance</t>
  </si>
  <si>
    <t>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</si>
</sst>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/>
    <xf numFmtId="0" fontId="0" fillId="0" borderId="2" xfId="0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31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0C4238-B76A-4806-AC15-E7B791885F3A}" name="Table1" displayName="Table1" ref="A1:M15" headerRowCount="0" totalsRowShown="0" headerRowDxfId="30" dataDxfId="28" headerRowBorderDxfId="29" tableBorderDxfId="27" totalsRowBorderDxfId="26">
  <tableColumns count="13">
    <tableColumn id="1" xr3:uid="{B9A91C37-DB8A-4188-A9D9-7B6F4613A0BB}" name="Column1" headerRowDxfId="25" dataDxfId="24"/>
    <tableColumn id="2" xr3:uid="{2AE7BDE8-67EA-45F9-B882-3CB41B0228C4}" name="Column2" headerRowDxfId="23" dataDxfId="22"/>
    <tableColumn id="3" xr3:uid="{A0AD8A39-DA48-4508-8782-7D562CF130CD}" name="Column3" headerRowDxfId="21" dataDxfId="20"/>
    <tableColumn id="4" xr3:uid="{60278365-30C4-47BE-8685-7DBD377F3F6E}" name="Column4" headerRowDxfId="19" dataDxfId="18"/>
    <tableColumn id="5" xr3:uid="{B44072FF-8F67-4A02-A226-E44D972B8DDD}" name="Column5" headerRowDxfId="17" dataDxfId="16"/>
    <tableColumn id="6" xr3:uid="{A2846A1C-01FA-4D79-B21C-68B44FA7DA20}" name="Column6" headerRowDxfId="15" dataDxfId="14"/>
    <tableColumn id="7" xr3:uid="{856D0D81-A566-41FF-B5E4-D077BCF53EF9}" name="Column7" headerRowDxfId="13" dataDxfId="12"/>
    <tableColumn id="8" xr3:uid="{797BD4C6-58B1-48FA-A3EC-FCBC98DD3012}" name="Column8" headerRowDxfId="11" dataDxfId="10"/>
    <tableColumn id="9" xr3:uid="{B07F2650-109A-4E8A-B75F-6AEA73921066}" name="Column9" headerRowDxfId="9" dataDxfId="8"/>
    <tableColumn id="10" xr3:uid="{5969773D-7DBD-4754-B2D6-991BE5FC789F}" name="Column10" headerRowDxfId="7" dataDxfId="6"/>
    <tableColumn id="11" xr3:uid="{9E3FB14E-2380-4D1A-97A7-B9A90AFA9E68}" name="Column11" headerRowDxfId="5" dataDxfId="4"/>
    <tableColumn id="12" xr3:uid="{C941AA89-A9CB-47BC-B67E-646B97A9A523}" name="Column12" headerRowDxfId="3" dataDxfId="2"/>
    <tableColumn id="13" xr3:uid="{80060450-38E1-4303-81AF-10288E4BDFE9}" name="Column13" headerRowDxfId="1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81374-CF11-448B-BAE9-730CA8170C4E}">
  <dimension ref="A1:M20"/>
  <sheetViews>
    <sheetView zoomScale="160" zoomScaleNormal="160" workbookViewId="0">
      <selection activeCell="F18" sqref="F18"/>
    </sheetView>
  </sheetViews>
  <sheetFormatPr defaultRowHeight="15" x14ac:dyDescent="0.25"/>
  <cols>
    <col min="1" max="1" width="9.5703125" customWidth="1"/>
    <col min="2" max="2" width="11" bestFit="1" customWidth="1"/>
    <col min="3" max="3" width="10.5703125" bestFit="1" customWidth="1"/>
    <col min="4" max="9" width="9.5703125" customWidth="1"/>
    <col min="11" max="11" width="19.7109375" bestFit="1" customWidth="1"/>
    <col min="12" max="12" width="10.5703125" bestFit="1" customWidth="1"/>
    <col min="13" max="13" width="32.5703125" bestFit="1" customWidth="1"/>
  </cols>
  <sheetData>
    <row r="1" spans="1:13" ht="13.5" customHeight="1" x14ac:dyDescent="0.25">
      <c r="A1" s="3" t="s">
        <v>36</v>
      </c>
      <c r="B1" s="3" t="s">
        <v>0</v>
      </c>
      <c r="C1" s="3" t="s">
        <v>1</v>
      </c>
      <c r="D1" s="3" t="s">
        <v>3</v>
      </c>
      <c r="E1" s="3" t="s">
        <v>2</v>
      </c>
      <c r="F1" s="3" t="s">
        <v>4</v>
      </c>
      <c r="G1" s="3" t="s">
        <v>7</v>
      </c>
      <c r="H1" s="3" t="s">
        <v>5</v>
      </c>
      <c r="I1" s="3" t="s">
        <v>6</v>
      </c>
      <c r="J1" s="4" t="s">
        <v>37</v>
      </c>
      <c r="K1" s="4" t="s">
        <v>38</v>
      </c>
      <c r="L1" s="4" t="s">
        <v>39</v>
      </c>
      <c r="M1" s="4" t="s">
        <v>41</v>
      </c>
    </row>
    <row r="2" spans="1:13" ht="13.5" customHeight="1" x14ac:dyDescent="0.25">
      <c r="A2" s="2">
        <v>1</v>
      </c>
      <c r="B2" s="2" t="s">
        <v>8</v>
      </c>
      <c r="C2" s="2" t="s">
        <v>9</v>
      </c>
      <c r="D2" s="2">
        <v>85</v>
      </c>
      <c r="E2" s="2">
        <v>78</v>
      </c>
      <c r="F2" s="2">
        <v>92</v>
      </c>
      <c r="G2" s="2">
        <v>88</v>
      </c>
      <c r="H2" s="2">
        <f>SUBTOTAL(9,Table1[[#This Row],[Column4]:[Column7]])</f>
        <v>343</v>
      </c>
      <c r="I2" s="2" t="str">
        <f>IF(OR(D2&lt;33,E2&lt;33,F2&lt;33,G2&lt;33),"Fail","Pass")</f>
        <v>Pass</v>
      </c>
      <c r="J2" s="2" t="str">
        <f>IF(I2="Pass",IF((H2/4)&gt;80,"A",IF((H2/4)&gt;65,"B",IF((H2/4)&gt;45,"C","D"))),"F")</f>
        <v>A</v>
      </c>
      <c r="K2" s="2" t="str">
        <f>IF(AND(F2&gt;=80,D2&gt;=80),"True","False")</f>
        <v>True</v>
      </c>
      <c r="L2" s="5">
        <f>COUNTIF(D2:D15,"&gt;50")</f>
        <v>12</v>
      </c>
      <c r="M2" s="2">
        <f>IF(Table1[[#This Row],[Column9]]="Pass",AVERAGE(Table1[[#This Row],[Column4]:[Column7]]),"Not Appilicable for Failed Students")</f>
        <v>85.75</v>
      </c>
    </row>
    <row r="3" spans="1:13" ht="13.5" customHeight="1" x14ac:dyDescent="0.25">
      <c r="A3" s="2">
        <v>2</v>
      </c>
      <c r="B3" s="2" t="s">
        <v>10</v>
      </c>
      <c r="C3" s="2" t="s">
        <v>11</v>
      </c>
      <c r="D3" s="2">
        <v>65</v>
      </c>
      <c r="E3" s="2">
        <v>32</v>
      </c>
      <c r="F3" s="2">
        <v>76</v>
      </c>
      <c r="G3" s="2">
        <v>80</v>
      </c>
      <c r="H3" s="2">
        <f>SUBTOTAL(9,Table1[[#This Row],[Column4]:[Column7]])</f>
        <v>253</v>
      </c>
      <c r="I3" s="2" t="str">
        <f t="shared" ref="I3:I15" si="0">IF(OR(D3&lt;33,E3&lt;33,F3&lt;33,G3&lt;33),"Fail","Pass")</f>
        <v>Fail</v>
      </c>
      <c r="J3" s="2" t="str">
        <f t="shared" ref="J3:J15" si="1">IF(I3="Pass",IF((H3/4)&gt;80,"A",IF((H3/4)&gt;65,"B",IF((H3/4)&gt;45,"C","D"))),"F")</f>
        <v>F</v>
      </c>
      <c r="K3" s="2" t="str">
        <f t="shared" ref="K3:K15" si="2">IF(AND(F3&gt;=80,D3&gt;=80),"True","False")</f>
        <v>False</v>
      </c>
      <c r="L3" s="5"/>
      <c r="M3" s="2" t="str">
        <f>IF(Table1[[#This Row],[Column9]]="Pass",AVERAGE(Table1[[#This Row],[Column4]:[Column7]]),"Not Appilicable for Failed Students")</f>
        <v>Not Appilicable for Failed Students</v>
      </c>
    </row>
    <row r="4" spans="1:13" ht="13.5" customHeight="1" x14ac:dyDescent="0.25">
      <c r="A4" s="2">
        <v>3</v>
      </c>
      <c r="B4" s="2" t="s">
        <v>12</v>
      </c>
      <c r="C4" s="2" t="s">
        <v>13</v>
      </c>
      <c r="D4" s="2">
        <v>64</v>
      </c>
      <c r="E4" s="2">
        <v>70</v>
      </c>
      <c r="F4" s="2">
        <v>68</v>
      </c>
      <c r="G4" s="2">
        <v>72</v>
      </c>
      <c r="H4" s="2">
        <f>SUBTOTAL(9,Table1[[#This Row],[Column4]:[Column7]])</f>
        <v>274</v>
      </c>
      <c r="I4" s="2" t="str">
        <f t="shared" si="0"/>
        <v>Pass</v>
      </c>
      <c r="J4" s="2" t="str">
        <f t="shared" si="1"/>
        <v>B</v>
      </c>
      <c r="K4" s="2" t="str">
        <f t="shared" si="2"/>
        <v>False</v>
      </c>
      <c r="L4" s="5"/>
      <c r="M4" s="2">
        <f>IF(Table1[[#This Row],[Column9]]="Pass",AVERAGE(Table1[[#This Row],[Column4]:[Column7]]),"Not Appilicable for Failed Students")</f>
        <v>68.5</v>
      </c>
    </row>
    <row r="5" spans="1:13" ht="13.5" customHeight="1" x14ac:dyDescent="0.25">
      <c r="A5" s="2">
        <v>4</v>
      </c>
      <c r="B5" s="2" t="s">
        <v>14</v>
      </c>
      <c r="C5" s="2" t="s">
        <v>15</v>
      </c>
      <c r="D5" s="2">
        <v>45</v>
      </c>
      <c r="E5" s="2">
        <v>55</v>
      </c>
      <c r="F5" s="2">
        <v>48</v>
      </c>
      <c r="G5" s="2">
        <v>50</v>
      </c>
      <c r="H5" s="2">
        <f>SUBTOTAL(9,Table1[[#This Row],[Column4]:[Column7]])</f>
        <v>198</v>
      </c>
      <c r="I5" s="2" t="str">
        <f t="shared" si="0"/>
        <v>Pass</v>
      </c>
      <c r="J5" s="2" t="str">
        <f t="shared" si="1"/>
        <v>C</v>
      </c>
      <c r="K5" s="2" t="str">
        <f t="shared" si="2"/>
        <v>False</v>
      </c>
      <c r="L5" s="5"/>
      <c r="M5" s="2">
        <f>IF(Table1[[#This Row],[Column9]]="Pass",AVERAGE(Table1[[#This Row],[Column4]:[Column7]]),"Not Appilicable for Failed Students")</f>
        <v>49.5</v>
      </c>
    </row>
    <row r="6" spans="1:13" ht="13.5" customHeight="1" x14ac:dyDescent="0.25">
      <c r="A6" s="2">
        <v>5</v>
      </c>
      <c r="B6" s="2" t="s">
        <v>16</v>
      </c>
      <c r="C6" s="2" t="s">
        <v>17</v>
      </c>
      <c r="D6" s="2">
        <v>88</v>
      </c>
      <c r="E6" s="2">
        <v>91</v>
      </c>
      <c r="F6" s="2">
        <v>85</v>
      </c>
      <c r="G6" s="2">
        <v>87</v>
      </c>
      <c r="H6" s="2">
        <f>SUBTOTAL(9,Table1[[#This Row],[Column4]:[Column7]])</f>
        <v>351</v>
      </c>
      <c r="I6" s="2" t="str">
        <f t="shared" si="0"/>
        <v>Pass</v>
      </c>
      <c r="J6" s="2" t="str">
        <f t="shared" si="1"/>
        <v>A</v>
      </c>
      <c r="K6" s="2" t="str">
        <f t="shared" si="2"/>
        <v>True</v>
      </c>
      <c r="L6" s="5"/>
      <c r="M6" s="2">
        <f>IF(Table1[[#This Row],[Column9]]="Pass",AVERAGE(Table1[[#This Row],[Column4]:[Column7]]),"Not Appilicable for Failed Students")</f>
        <v>87.75</v>
      </c>
    </row>
    <row r="7" spans="1:13" x14ac:dyDescent="0.25">
      <c r="A7" s="2">
        <v>6</v>
      </c>
      <c r="B7" s="2" t="s">
        <v>18</v>
      </c>
      <c r="C7" s="2" t="s">
        <v>19</v>
      </c>
      <c r="D7" s="2">
        <v>73</v>
      </c>
      <c r="E7" s="2">
        <v>65</v>
      </c>
      <c r="F7" s="2">
        <v>74</v>
      </c>
      <c r="G7" s="2">
        <v>71</v>
      </c>
      <c r="H7" s="2">
        <f>SUBTOTAL(9,Table1[[#This Row],[Column4]:[Column7]])</f>
        <v>283</v>
      </c>
      <c r="I7" s="2" t="str">
        <f t="shared" si="0"/>
        <v>Pass</v>
      </c>
      <c r="J7" s="2" t="str">
        <f t="shared" si="1"/>
        <v>B</v>
      </c>
      <c r="K7" s="2" t="str">
        <f t="shared" si="2"/>
        <v>False</v>
      </c>
      <c r="L7" s="5"/>
      <c r="M7" s="2">
        <f>IF(Table1[[#This Row],[Column9]]="Pass",AVERAGE(Table1[[#This Row],[Column4]:[Column7]]),"Not Appilicable for Failed Students")</f>
        <v>70.75</v>
      </c>
    </row>
    <row r="8" spans="1:13" x14ac:dyDescent="0.25">
      <c r="A8" s="2">
        <v>7</v>
      </c>
      <c r="B8" s="2" t="s">
        <v>20</v>
      </c>
      <c r="C8" s="2" t="s">
        <v>21</v>
      </c>
      <c r="D8" s="2">
        <v>95</v>
      </c>
      <c r="E8" s="2">
        <v>96</v>
      </c>
      <c r="F8" s="2">
        <v>91</v>
      </c>
      <c r="G8" s="2">
        <v>94</v>
      </c>
      <c r="H8" s="2">
        <f>SUBTOTAL(9,Table1[[#This Row],[Column4]:[Column7]])</f>
        <v>376</v>
      </c>
      <c r="I8" s="2" t="str">
        <f t="shared" si="0"/>
        <v>Pass</v>
      </c>
      <c r="J8" s="2" t="str">
        <f t="shared" si="1"/>
        <v>A</v>
      </c>
      <c r="K8" s="2" t="str">
        <f t="shared" si="2"/>
        <v>True</v>
      </c>
      <c r="L8" s="5"/>
      <c r="M8" s="2">
        <f>IF(Table1[[#This Row],[Column9]]="Pass",AVERAGE(Table1[[#This Row],[Column4]:[Column7]]),"Not Appilicable for Failed Students")</f>
        <v>94</v>
      </c>
    </row>
    <row r="9" spans="1:13" x14ac:dyDescent="0.25">
      <c r="A9" s="2">
        <v>8</v>
      </c>
      <c r="B9" s="2" t="s">
        <v>22</v>
      </c>
      <c r="C9" s="2" t="s">
        <v>23</v>
      </c>
      <c r="D9" s="2">
        <v>58</v>
      </c>
      <c r="E9" s="2">
        <v>62</v>
      </c>
      <c r="F9" s="2">
        <v>60</v>
      </c>
      <c r="G9" s="2">
        <v>65</v>
      </c>
      <c r="H9" s="2">
        <f>SUBTOTAL(9,Table1[[#This Row],[Column4]:[Column7]])</f>
        <v>245</v>
      </c>
      <c r="I9" s="2" t="str">
        <f t="shared" si="0"/>
        <v>Pass</v>
      </c>
      <c r="J9" s="2" t="str">
        <f t="shared" si="1"/>
        <v>C</v>
      </c>
      <c r="K9" s="2" t="str">
        <f t="shared" si="2"/>
        <v>False</v>
      </c>
      <c r="L9" s="5"/>
      <c r="M9" s="2">
        <f>IF(Table1[[#This Row],[Column9]]="Pass",AVERAGE(Table1[[#This Row],[Column4]:[Column7]]),"Not Appilicable for Failed Students")</f>
        <v>61.25</v>
      </c>
    </row>
    <row r="10" spans="1:13" x14ac:dyDescent="0.25">
      <c r="A10" s="2">
        <v>9</v>
      </c>
      <c r="B10" s="2" t="s">
        <v>24</v>
      </c>
      <c r="C10" s="2" t="s">
        <v>25</v>
      </c>
      <c r="D10" s="2">
        <v>81</v>
      </c>
      <c r="E10" s="2">
        <v>84</v>
      </c>
      <c r="F10" s="2">
        <v>88</v>
      </c>
      <c r="G10" s="2">
        <v>83</v>
      </c>
      <c r="H10" s="2">
        <f>SUBTOTAL(9,Table1[[#This Row],[Column4]:[Column7]])</f>
        <v>336</v>
      </c>
      <c r="I10" s="2" t="str">
        <f t="shared" si="0"/>
        <v>Pass</v>
      </c>
      <c r="J10" s="2" t="str">
        <f t="shared" si="1"/>
        <v>A</v>
      </c>
      <c r="K10" s="2" t="str">
        <f t="shared" si="2"/>
        <v>True</v>
      </c>
      <c r="L10" s="5"/>
      <c r="M10" s="2">
        <f>IF(Table1[[#This Row],[Column9]]="Pass",AVERAGE(Table1[[#This Row],[Column4]:[Column7]]),"Not Appilicable for Failed Students")</f>
        <v>84</v>
      </c>
    </row>
    <row r="11" spans="1:13" x14ac:dyDescent="0.25">
      <c r="A11" s="2">
        <v>10</v>
      </c>
      <c r="B11" s="2" t="s">
        <v>26</v>
      </c>
      <c r="C11" s="2" t="s">
        <v>27</v>
      </c>
      <c r="D11" s="2">
        <v>77</v>
      </c>
      <c r="E11" s="2">
        <v>82</v>
      </c>
      <c r="F11" s="2">
        <v>80</v>
      </c>
      <c r="G11" s="2">
        <v>79</v>
      </c>
      <c r="H11" s="2">
        <f>SUBTOTAL(9,Table1[[#This Row],[Column4]:[Column7]])</f>
        <v>318</v>
      </c>
      <c r="I11" s="2" t="str">
        <f t="shared" si="0"/>
        <v>Pass</v>
      </c>
      <c r="J11" s="2" t="str">
        <f t="shared" si="1"/>
        <v>B</v>
      </c>
      <c r="K11" s="2" t="str">
        <f t="shared" si="2"/>
        <v>False</v>
      </c>
      <c r="L11" s="5"/>
      <c r="M11" s="2">
        <f>IF(Table1[[#This Row],[Column9]]="Pass",AVERAGE(Table1[[#This Row],[Column4]:[Column7]]),"Not Appilicable for Failed Students")</f>
        <v>79.5</v>
      </c>
    </row>
    <row r="12" spans="1:13" x14ac:dyDescent="0.25">
      <c r="A12" s="2">
        <v>11</v>
      </c>
      <c r="B12" s="2" t="s">
        <v>28</v>
      </c>
      <c r="C12" s="2" t="s">
        <v>29</v>
      </c>
      <c r="D12" s="2">
        <v>35</v>
      </c>
      <c r="E12" s="2">
        <v>60</v>
      </c>
      <c r="F12" s="2">
        <v>42</v>
      </c>
      <c r="G12" s="2">
        <v>30</v>
      </c>
      <c r="H12" s="2">
        <f>SUBTOTAL(9,Table1[[#This Row],[Column4]:[Column7]])</f>
        <v>167</v>
      </c>
      <c r="I12" s="2" t="str">
        <f t="shared" si="0"/>
        <v>Fail</v>
      </c>
      <c r="J12" s="2" t="str">
        <f t="shared" si="1"/>
        <v>F</v>
      </c>
      <c r="K12" s="2" t="str">
        <f t="shared" si="2"/>
        <v>False</v>
      </c>
      <c r="L12" s="5"/>
      <c r="M12" s="2" t="str">
        <f>IF(Table1[[#This Row],[Column9]]="Pass",AVERAGE(Table1[[#This Row],[Column4]:[Column7]]),"Not Appilicable for Failed Students")</f>
        <v>Not Appilicable for Failed Students</v>
      </c>
    </row>
    <row r="13" spans="1:13" x14ac:dyDescent="0.25">
      <c r="A13" s="2">
        <v>12</v>
      </c>
      <c r="B13" s="2" t="s">
        <v>30</v>
      </c>
      <c r="C13" s="2" t="s">
        <v>31</v>
      </c>
      <c r="D13" s="2">
        <v>89</v>
      </c>
      <c r="E13" s="2">
        <v>74</v>
      </c>
      <c r="F13" s="2">
        <v>83</v>
      </c>
      <c r="G13" s="2">
        <v>85</v>
      </c>
      <c r="H13" s="2">
        <f>SUBTOTAL(9,Table1[[#This Row],[Column4]:[Column7]])</f>
        <v>331</v>
      </c>
      <c r="I13" s="2" t="str">
        <f t="shared" si="0"/>
        <v>Pass</v>
      </c>
      <c r="J13" s="2" t="str">
        <f t="shared" si="1"/>
        <v>A</v>
      </c>
      <c r="K13" s="2" t="str">
        <f t="shared" si="2"/>
        <v>True</v>
      </c>
      <c r="L13" s="5"/>
      <c r="M13" s="2">
        <f>IF(Table1[[#This Row],[Column9]]="Pass",AVERAGE(Table1[[#This Row],[Column4]:[Column7]]),"Not Appilicable for Failed Students")</f>
        <v>82.75</v>
      </c>
    </row>
    <row r="14" spans="1:13" x14ac:dyDescent="0.25">
      <c r="A14" s="2">
        <v>13</v>
      </c>
      <c r="B14" s="2" t="s">
        <v>32</v>
      </c>
      <c r="C14" s="2" t="s">
        <v>33</v>
      </c>
      <c r="D14" s="2">
        <v>91</v>
      </c>
      <c r="E14" s="2">
        <v>93</v>
      </c>
      <c r="F14" s="2">
        <v>87</v>
      </c>
      <c r="G14" s="2">
        <v>89</v>
      </c>
      <c r="H14" s="2">
        <f>SUBTOTAL(9,Table1[[#This Row],[Column4]:[Column7]])</f>
        <v>360</v>
      </c>
      <c r="I14" s="2" t="str">
        <f t="shared" si="0"/>
        <v>Pass</v>
      </c>
      <c r="J14" s="2" t="str">
        <f t="shared" si="1"/>
        <v>A</v>
      </c>
      <c r="K14" s="2" t="str">
        <f t="shared" si="2"/>
        <v>True</v>
      </c>
      <c r="L14" s="5"/>
      <c r="M14" s="2">
        <f>IF(Table1[[#This Row],[Column9]]="Pass",AVERAGE(Table1[[#This Row],[Column4]:[Column7]]),"Not Appilicable for Failed Students")</f>
        <v>90</v>
      </c>
    </row>
    <row r="15" spans="1:13" x14ac:dyDescent="0.25">
      <c r="A15" s="2">
        <v>14</v>
      </c>
      <c r="B15" s="2" t="s">
        <v>34</v>
      </c>
      <c r="C15" s="2" t="s">
        <v>35</v>
      </c>
      <c r="D15" s="2">
        <v>62</v>
      </c>
      <c r="E15" s="2">
        <v>58</v>
      </c>
      <c r="F15" s="2">
        <v>65</v>
      </c>
      <c r="G15" s="2">
        <v>59</v>
      </c>
      <c r="H15" s="2">
        <f>SUBTOTAL(9,Table1[[#This Row],[Column4]:[Column7]])</f>
        <v>244</v>
      </c>
      <c r="I15" s="2" t="str">
        <f t="shared" si="0"/>
        <v>Pass</v>
      </c>
      <c r="J15" s="2" t="str">
        <f t="shared" si="1"/>
        <v>C</v>
      </c>
      <c r="K15" s="2" t="str">
        <f t="shared" si="2"/>
        <v>False</v>
      </c>
      <c r="L15" s="6"/>
      <c r="M15" s="2">
        <f>IF(Table1[[#This Row],[Column9]]="Pass",AVERAGE(Table1[[#This Row],[Column4]:[Column7]]),"Not Appilicable for Failed Students")</f>
        <v>61</v>
      </c>
    </row>
    <row r="16" spans="1:13" x14ac:dyDescent="0.25">
      <c r="A16" s="1"/>
      <c r="B16" s="1"/>
      <c r="C16" s="1"/>
      <c r="D16" s="1"/>
      <c r="E16" s="1"/>
      <c r="F16" s="1"/>
      <c r="G16" s="1"/>
      <c r="H16" s="1"/>
      <c r="I16" s="1"/>
    </row>
    <row r="17" spans="1:4" x14ac:dyDescent="0.25">
      <c r="A17" s="19" t="s">
        <v>40</v>
      </c>
      <c r="B17" s="19"/>
      <c r="C17" s="19"/>
      <c r="D17" s="1">
        <f>AVERAGEIF(M2:M15,"&gt;60")</f>
        <v>78.659090909090907</v>
      </c>
    </row>
    <row r="19" spans="1:4" x14ac:dyDescent="0.25">
      <c r="A19" s="19" t="s">
        <v>42</v>
      </c>
      <c r="B19" s="19"/>
      <c r="C19" s="1">
        <v>10</v>
      </c>
    </row>
    <row r="20" spans="1:4" x14ac:dyDescent="0.25">
      <c r="A20" s="19" t="s">
        <v>43</v>
      </c>
      <c r="B20" s="19"/>
      <c r="C20" s="1" t="str">
        <f>VLOOKUP(C19,Table1[#All],2,0)</f>
        <v>James</v>
      </c>
    </row>
  </sheetData>
  <mergeCells count="3">
    <mergeCell ref="A17:C17"/>
    <mergeCell ref="A19:B19"/>
    <mergeCell ref="A20:B20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ED2B7-28C6-4048-9BCB-01392EFA812F}">
  <dimension ref="A1:I26"/>
  <sheetViews>
    <sheetView zoomScale="145" zoomScaleNormal="145" workbookViewId="0">
      <selection activeCell="H10" sqref="H10"/>
    </sheetView>
  </sheetViews>
  <sheetFormatPr defaultRowHeight="15" x14ac:dyDescent="0.25"/>
  <cols>
    <col min="1" max="1" width="7.85546875" bestFit="1" customWidth="1"/>
    <col min="2" max="2" width="15.5703125" bestFit="1" customWidth="1"/>
    <col min="3" max="3" width="11.7109375" bestFit="1" customWidth="1"/>
    <col min="4" max="4" width="12.28515625" bestFit="1" customWidth="1"/>
    <col min="5" max="5" width="13.140625" bestFit="1" customWidth="1"/>
    <col min="7" max="7" width="8.28515625" bestFit="1" customWidth="1"/>
    <col min="8" max="8" width="17.28515625" bestFit="1" customWidth="1"/>
    <col min="9" max="9" width="11.7109375" bestFit="1" customWidth="1"/>
    <col min="10" max="10" width="13.5703125" bestFit="1" customWidth="1"/>
    <col min="11" max="11" width="13.140625" bestFit="1" customWidth="1"/>
  </cols>
  <sheetData>
    <row r="1" spans="1:9" x14ac:dyDescent="0.25">
      <c r="A1" s="3" t="s">
        <v>44</v>
      </c>
      <c r="B1" s="3" t="s">
        <v>45</v>
      </c>
      <c r="C1" s="3" t="s">
        <v>46</v>
      </c>
      <c r="D1" s="3" t="s">
        <v>64</v>
      </c>
      <c r="E1" s="3" t="s">
        <v>47</v>
      </c>
    </row>
    <row r="2" spans="1:9" x14ac:dyDescent="0.25">
      <c r="A2" s="2" t="s">
        <v>48</v>
      </c>
      <c r="B2" s="2" t="s">
        <v>63</v>
      </c>
      <c r="C2" s="2" t="s">
        <v>66</v>
      </c>
      <c r="D2" s="7">
        <v>43174</v>
      </c>
      <c r="E2" s="2">
        <v>75000</v>
      </c>
    </row>
    <row r="3" spans="1:9" x14ac:dyDescent="0.25">
      <c r="A3" s="2" t="s">
        <v>49</v>
      </c>
      <c r="B3" s="2" t="s">
        <v>65</v>
      </c>
      <c r="C3" s="2" t="s">
        <v>67</v>
      </c>
      <c r="D3" s="7">
        <v>44367</v>
      </c>
      <c r="E3" s="2">
        <v>88000</v>
      </c>
      <c r="G3" s="15" t="s">
        <v>89</v>
      </c>
    </row>
    <row r="4" spans="1:9" x14ac:dyDescent="0.25">
      <c r="A4" s="2" t="s">
        <v>50</v>
      </c>
      <c r="B4" s="2" t="s">
        <v>68</v>
      </c>
      <c r="C4" s="2" t="s">
        <v>69</v>
      </c>
      <c r="D4" s="7">
        <v>43770</v>
      </c>
      <c r="E4" s="2">
        <v>62000</v>
      </c>
      <c r="G4" s="19" t="s">
        <v>90</v>
      </c>
      <c r="H4" s="19"/>
      <c r="I4" s="19"/>
    </row>
    <row r="5" spans="1:9" x14ac:dyDescent="0.25">
      <c r="A5" s="2" t="s">
        <v>51</v>
      </c>
      <c r="B5" s="8" t="s">
        <v>70</v>
      </c>
      <c r="C5" s="2" t="s">
        <v>71</v>
      </c>
      <c r="D5" s="7">
        <v>44606</v>
      </c>
      <c r="E5" s="2">
        <v>58000</v>
      </c>
      <c r="G5" s="19" t="s">
        <v>91</v>
      </c>
      <c r="H5" s="19"/>
      <c r="I5" s="1">
        <f ca="1">AVERAGE(INDIRECT(G3 &amp;"2:"&amp;G3&amp;"16"))</f>
        <v>68133.333333333328</v>
      </c>
    </row>
    <row r="6" spans="1:9" x14ac:dyDescent="0.25">
      <c r="A6" s="2" t="s">
        <v>52</v>
      </c>
      <c r="B6" s="2" t="s">
        <v>72</v>
      </c>
      <c r="C6" s="2" t="s">
        <v>73</v>
      </c>
      <c r="D6" s="7">
        <v>44053</v>
      </c>
      <c r="E6" s="2">
        <v>71000</v>
      </c>
    </row>
    <row r="7" spans="1:9" x14ac:dyDescent="0.25">
      <c r="A7" s="2" t="s">
        <v>53</v>
      </c>
      <c r="B7" s="2" t="s">
        <v>74</v>
      </c>
      <c r="C7" s="2" t="s">
        <v>75</v>
      </c>
      <c r="D7" s="7">
        <v>42877</v>
      </c>
      <c r="E7" s="2">
        <v>80000</v>
      </c>
    </row>
    <row r="8" spans="1:9" x14ac:dyDescent="0.25">
      <c r="A8" s="2" t="s">
        <v>54</v>
      </c>
      <c r="B8" s="2" t="s">
        <v>76</v>
      </c>
      <c r="C8" s="2" t="s">
        <v>67</v>
      </c>
      <c r="D8" s="7">
        <v>44935</v>
      </c>
      <c r="E8" s="2">
        <v>48000</v>
      </c>
    </row>
    <row r="9" spans="1:9" x14ac:dyDescent="0.25">
      <c r="A9" s="2" t="s">
        <v>55</v>
      </c>
      <c r="B9" s="8" t="s">
        <v>77</v>
      </c>
      <c r="C9" s="2" t="s">
        <v>66</v>
      </c>
      <c r="D9" s="7">
        <v>44487</v>
      </c>
      <c r="E9" s="2">
        <v>55000</v>
      </c>
    </row>
    <row r="10" spans="1:9" x14ac:dyDescent="0.25">
      <c r="A10" s="2" t="s">
        <v>56</v>
      </c>
      <c r="B10" s="2" t="s">
        <v>78</v>
      </c>
      <c r="C10" s="2" t="s">
        <v>69</v>
      </c>
      <c r="D10" s="7">
        <v>42465</v>
      </c>
      <c r="E10" s="2">
        <v>92000</v>
      </c>
    </row>
    <row r="11" spans="1:9" x14ac:dyDescent="0.25">
      <c r="A11" s="2" t="s">
        <v>57</v>
      </c>
      <c r="B11" s="2" t="s">
        <v>79</v>
      </c>
      <c r="C11" s="2" t="s">
        <v>71</v>
      </c>
      <c r="D11" s="7">
        <v>44761</v>
      </c>
      <c r="E11" s="2">
        <v>52000</v>
      </c>
    </row>
    <row r="12" spans="1:9" x14ac:dyDescent="0.25">
      <c r="A12" s="2" t="s">
        <v>58</v>
      </c>
      <c r="B12" s="2" t="s">
        <v>80</v>
      </c>
      <c r="C12" s="2" t="s">
        <v>73</v>
      </c>
      <c r="D12" s="7">
        <v>42339</v>
      </c>
      <c r="E12" s="2">
        <v>85000</v>
      </c>
    </row>
    <row r="13" spans="1:9" x14ac:dyDescent="0.25">
      <c r="A13" s="2" t="s">
        <v>59</v>
      </c>
      <c r="B13" s="8" t="s">
        <v>81</v>
      </c>
      <c r="C13" s="2" t="s">
        <v>75</v>
      </c>
      <c r="D13" s="7">
        <v>45027</v>
      </c>
      <c r="E13" s="2">
        <v>50000</v>
      </c>
    </row>
    <row r="14" spans="1:9" x14ac:dyDescent="0.25">
      <c r="A14" s="2" t="s">
        <v>60</v>
      </c>
      <c r="B14" s="2" t="s">
        <v>82</v>
      </c>
      <c r="C14" s="2" t="s">
        <v>67</v>
      </c>
      <c r="D14" s="7">
        <v>43864</v>
      </c>
      <c r="E14" s="2">
        <v>95000</v>
      </c>
    </row>
    <row r="15" spans="1:9" x14ac:dyDescent="0.25">
      <c r="A15" s="2" t="s">
        <v>61</v>
      </c>
      <c r="B15" s="2" t="s">
        <v>83</v>
      </c>
      <c r="C15" s="2" t="s">
        <v>69</v>
      </c>
      <c r="D15" s="7">
        <v>44466</v>
      </c>
      <c r="E15" s="2">
        <v>57000</v>
      </c>
    </row>
    <row r="16" spans="1:9" x14ac:dyDescent="0.25">
      <c r="A16" s="2" t="s">
        <v>62</v>
      </c>
      <c r="B16" s="2" t="s">
        <v>84</v>
      </c>
      <c r="C16" s="2" t="s">
        <v>71</v>
      </c>
      <c r="D16" s="7">
        <v>45061</v>
      </c>
      <c r="E16" s="2">
        <v>54000</v>
      </c>
    </row>
    <row r="18" spans="1:5" x14ac:dyDescent="0.25">
      <c r="A18" s="16" t="s">
        <v>85</v>
      </c>
      <c r="B18" s="16"/>
      <c r="C18" s="1" t="str">
        <f>A12</f>
        <v>EMP011</v>
      </c>
    </row>
    <row r="19" spans="1:5" x14ac:dyDescent="0.25">
      <c r="A19" s="9" t="s">
        <v>86</v>
      </c>
      <c r="B19" s="11" t="s">
        <v>87</v>
      </c>
      <c r="C19" s="11" t="s">
        <v>88</v>
      </c>
      <c r="D19" s="2" t="s">
        <v>64</v>
      </c>
      <c r="E19" s="2" t="s">
        <v>47</v>
      </c>
    </row>
    <row r="20" spans="1:5" x14ac:dyDescent="0.25">
      <c r="B20" s="1" t="str">
        <f>INDEX(B2:B16,MATCH(C18,A2:A16,0))</f>
        <v>William Harris</v>
      </c>
      <c r="C20" s="1" t="str">
        <f>INDEX(C2:C16,MATCH(C18,A2:A16,0))</f>
        <v>Finance</v>
      </c>
      <c r="D20" s="10">
        <f>INDEX(D2:D16,MATCH(C18,A2:A16,0))</f>
        <v>42339</v>
      </c>
      <c r="E20" s="1">
        <f>INDEX(E2:E16,MATCH(C18,A2:A16,0))</f>
        <v>85000</v>
      </c>
    </row>
    <row r="22" spans="1:5" x14ac:dyDescent="0.25">
      <c r="A22" s="16" t="s">
        <v>85</v>
      </c>
      <c r="B22" s="16"/>
      <c r="C22" s="1" t="str">
        <f>A16</f>
        <v>EMP015</v>
      </c>
    </row>
    <row r="23" spans="1:5" x14ac:dyDescent="0.25">
      <c r="A23" s="19" t="s">
        <v>0</v>
      </c>
      <c r="B23" s="19"/>
      <c r="C23" s="1" t="str">
        <f>LEFT(INDEX(B2:B16,MATCH(C22,A2:A16,)),FIND(" ",INDEX(B2:B16,MATCH(C22,A2:A16,)))-1)</f>
        <v>Brian</v>
      </c>
    </row>
    <row r="25" spans="1:5" x14ac:dyDescent="0.25">
      <c r="A25" s="13"/>
      <c r="B25" s="12"/>
      <c r="C25" s="12"/>
      <c r="D25" s="12"/>
    </row>
    <row r="26" spans="1:5" x14ac:dyDescent="0.25">
      <c r="A26" s="14"/>
      <c r="B26" s="12"/>
    </row>
  </sheetData>
  <mergeCells count="5">
    <mergeCell ref="A18:B18"/>
    <mergeCell ref="A22:B22"/>
    <mergeCell ref="A23:B23"/>
    <mergeCell ref="G4:I4"/>
    <mergeCell ref="G5:H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9CCA5-9E8E-4A6C-98D4-D786DA5623E0}">
  <dimension ref="A1:L19"/>
  <sheetViews>
    <sheetView tabSelected="1" topLeftCell="C1" zoomScale="166" workbookViewId="0">
      <selection activeCell="K5" sqref="K5"/>
    </sheetView>
  </sheetViews>
  <sheetFormatPr defaultRowHeight="15" x14ac:dyDescent="0.25"/>
  <cols>
    <col min="1" max="1" width="10.42578125" bestFit="1" customWidth="1"/>
    <col min="2" max="2" width="12.85546875" bestFit="1" customWidth="1"/>
    <col min="3" max="3" width="10.28515625" bestFit="1" customWidth="1"/>
    <col min="5" max="5" width="15.7109375" bestFit="1" customWidth="1"/>
    <col min="7" max="7" width="10.42578125" bestFit="1" customWidth="1"/>
    <col min="8" max="8" width="14.28515625" bestFit="1" customWidth="1"/>
    <col min="9" max="9" width="17.28515625" bestFit="1" customWidth="1"/>
  </cols>
  <sheetData>
    <row r="1" spans="1:12" x14ac:dyDescent="0.25">
      <c r="A1" s="3" t="s">
        <v>92</v>
      </c>
      <c r="B1" s="3" t="s">
        <v>93</v>
      </c>
      <c r="C1" s="3" t="s">
        <v>94</v>
      </c>
      <c r="D1" s="3" t="s">
        <v>95</v>
      </c>
      <c r="E1" s="3" t="s">
        <v>96</v>
      </c>
      <c r="F1" s="3" t="s">
        <v>97</v>
      </c>
      <c r="G1" s="3" t="s">
        <v>98</v>
      </c>
      <c r="H1" s="3" t="s">
        <v>128</v>
      </c>
      <c r="I1" s="3" t="s">
        <v>131</v>
      </c>
      <c r="K1" s="3" t="s">
        <v>94</v>
      </c>
      <c r="L1" s="1" t="str">
        <f>C14</f>
        <v>Laptop</v>
      </c>
    </row>
    <row r="2" spans="1:12" x14ac:dyDescent="0.25">
      <c r="A2" s="2" t="s">
        <v>99</v>
      </c>
      <c r="B2" s="2" t="s">
        <v>114</v>
      </c>
      <c r="C2" s="2" t="s">
        <v>121</v>
      </c>
      <c r="D2" s="2" t="s">
        <v>124</v>
      </c>
      <c r="E2" s="2" t="s">
        <v>68</v>
      </c>
      <c r="F2" s="2">
        <v>1200</v>
      </c>
      <c r="G2" s="7">
        <v>46027</v>
      </c>
      <c r="H2" s="2" t="str">
        <f>IF(F2&lt;50,"Not Applicable",IF(F2&lt;100,"5%",IF(F2&lt;200,"10%",IF(F2&lt;500,"15%",IF(F2&lt;1000,"20%","25%")))))</f>
        <v>25%</v>
      </c>
      <c r="I2" s="2" t="str">
        <f>UPPER(E2)</f>
        <v>MICHAEL BROWN</v>
      </c>
      <c r="K2" s="1" t="s">
        <v>134</v>
      </c>
      <c r="L2" s="1">
        <f>_xlfn.XMATCH(L1,C2:C16,0,2)</f>
        <v>1</v>
      </c>
    </row>
    <row r="3" spans="1:12" x14ac:dyDescent="0.25">
      <c r="A3" s="2" t="s">
        <v>100</v>
      </c>
      <c r="B3" s="2" t="s">
        <v>115</v>
      </c>
      <c r="C3" s="2" t="s">
        <v>123</v>
      </c>
      <c r="D3" s="2" t="s">
        <v>125</v>
      </c>
      <c r="E3" s="2" t="s">
        <v>65</v>
      </c>
      <c r="F3" s="2">
        <v>350</v>
      </c>
      <c r="G3" s="7">
        <v>46030</v>
      </c>
      <c r="H3" s="2" t="str">
        <f t="shared" ref="H3:H16" si="0">IF(F3&lt;50,"Not Applicable",IF(F3&lt;100,"5%",IF(F3&lt;200,"10%",IF(F3&lt;500,"15%",IF(F3&lt;1000,"20%","25%")))))</f>
        <v>15%</v>
      </c>
      <c r="I3" s="2" t="str">
        <f t="shared" ref="I3:I16" si="1">UPPER(E3)</f>
        <v>JANE DOE</v>
      </c>
    </row>
    <row r="4" spans="1:12" x14ac:dyDescent="0.25">
      <c r="A4" s="2" t="s">
        <v>101</v>
      </c>
      <c r="B4" s="2" t="s">
        <v>116</v>
      </c>
      <c r="C4" s="2" t="s">
        <v>119</v>
      </c>
      <c r="D4" s="2" t="s">
        <v>126</v>
      </c>
      <c r="E4" s="2" t="s">
        <v>78</v>
      </c>
      <c r="F4" s="2">
        <v>75</v>
      </c>
      <c r="G4" s="7">
        <v>46034</v>
      </c>
      <c r="H4" s="2" t="str">
        <f t="shared" si="0"/>
        <v>5%</v>
      </c>
      <c r="I4" s="2" t="str">
        <f t="shared" si="1"/>
        <v>ROBERT JACKSON</v>
      </c>
    </row>
    <row r="5" spans="1:12" x14ac:dyDescent="0.25">
      <c r="A5" s="2" t="s">
        <v>102</v>
      </c>
      <c r="B5" s="2" t="s">
        <v>114</v>
      </c>
      <c r="C5" s="2" t="s">
        <v>121</v>
      </c>
      <c r="D5" s="2" t="s">
        <v>127</v>
      </c>
      <c r="E5" s="2" t="s">
        <v>83</v>
      </c>
      <c r="F5" s="2">
        <v>1200</v>
      </c>
      <c r="G5" s="7">
        <v>46037</v>
      </c>
      <c r="H5" s="2" t="str">
        <f t="shared" si="0"/>
        <v>25%</v>
      </c>
      <c r="I5" s="2" t="str">
        <f t="shared" si="1"/>
        <v>RACHEL MARTINEZ</v>
      </c>
    </row>
    <row r="6" spans="1:12" x14ac:dyDescent="0.25">
      <c r="A6" s="2" t="s">
        <v>103</v>
      </c>
      <c r="B6" s="2" t="s">
        <v>117</v>
      </c>
      <c r="C6" s="2" t="s">
        <v>120</v>
      </c>
      <c r="D6" s="2" t="s">
        <v>124</v>
      </c>
      <c r="E6" s="2" t="s">
        <v>70</v>
      </c>
      <c r="F6" s="2">
        <v>250</v>
      </c>
      <c r="G6" s="7">
        <v>46041</v>
      </c>
      <c r="H6" s="2" t="str">
        <f t="shared" si="0"/>
        <v>15%</v>
      </c>
      <c r="I6" s="2" t="str">
        <f t="shared" si="1"/>
        <v>EMILY DAVIS</v>
      </c>
    </row>
    <row r="7" spans="1:12" x14ac:dyDescent="0.25">
      <c r="A7" s="2" t="s">
        <v>104</v>
      </c>
      <c r="B7" s="2" t="s">
        <v>115</v>
      </c>
      <c r="C7" s="2" t="s">
        <v>123</v>
      </c>
      <c r="D7" s="2" t="s">
        <v>126</v>
      </c>
      <c r="E7" s="2" t="s">
        <v>78</v>
      </c>
      <c r="F7" s="2">
        <v>350</v>
      </c>
      <c r="G7" s="7">
        <v>46044</v>
      </c>
      <c r="H7" s="2" t="str">
        <f t="shared" si="0"/>
        <v>15%</v>
      </c>
      <c r="I7" s="2" t="str">
        <f t="shared" si="1"/>
        <v>ROBERT JACKSON</v>
      </c>
    </row>
    <row r="8" spans="1:12" x14ac:dyDescent="0.25">
      <c r="A8" s="2" t="s">
        <v>105</v>
      </c>
      <c r="B8" s="2" t="s">
        <v>118</v>
      </c>
      <c r="C8" s="2" t="s">
        <v>122</v>
      </c>
      <c r="D8" s="2" t="s">
        <v>125</v>
      </c>
      <c r="E8" s="2" t="s">
        <v>65</v>
      </c>
      <c r="F8" s="2">
        <v>45</v>
      </c>
      <c r="G8" s="7">
        <v>46048</v>
      </c>
      <c r="H8" s="2" t="str">
        <f t="shared" si="0"/>
        <v>Not Applicable</v>
      </c>
      <c r="I8" s="2" t="str">
        <f t="shared" si="1"/>
        <v>JANE DOE</v>
      </c>
    </row>
    <row r="9" spans="1:12" x14ac:dyDescent="0.25">
      <c r="A9" s="2" t="s">
        <v>106</v>
      </c>
      <c r="B9" s="2" t="s">
        <v>114</v>
      </c>
      <c r="C9" s="2" t="s">
        <v>121</v>
      </c>
      <c r="D9" s="2" t="s">
        <v>126</v>
      </c>
      <c r="E9" s="2" t="s">
        <v>68</v>
      </c>
      <c r="F9" s="2">
        <v>2400</v>
      </c>
      <c r="G9" s="7">
        <v>46055</v>
      </c>
      <c r="H9" s="2" t="str">
        <f t="shared" si="0"/>
        <v>25%</v>
      </c>
      <c r="I9" s="2" t="str">
        <f t="shared" si="1"/>
        <v>MICHAEL BROWN</v>
      </c>
    </row>
    <row r="10" spans="1:12" x14ac:dyDescent="0.25">
      <c r="A10" s="2" t="s">
        <v>107</v>
      </c>
      <c r="B10" s="2" t="s">
        <v>116</v>
      </c>
      <c r="C10" s="2" t="s">
        <v>119</v>
      </c>
      <c r="D10" s="2" t="s">
        <v>127</v>
      </c>
      <c r="E10" s="2" t="s">
        <v>83</v>
      </c>
      <c r="F10" s="2">
        <v>150</v>
      </c>
      <c r="G10" s="7">
        <v>46058</v>
      </c>
      <c r="H10" s="2" t="str">
        <f t="shared" si="0"/>
        <v>10%</v>
      </c>
      <c r="I10" s="2" t="str">
        <f t="shared" si="1"/>
        <v>RACHEL MARTINEZ</v>
      </c>
    </row>
    <row r="11" spans="1:12" x14ac:dyDescent="0.25">
      <c r="A11" s="2" t="s">
        <v>108</v>
      </c>
      <c r="B11" s="2" t="s">
        <v>117</v>
      </c>
      <c r="C11" s="2" t="s">
        <v>120</v>
      </c>
      <c r="D11" s="2" t="s">
        <v>125</v>
      </c>
      <c r="E11" s="2" t="s">
        <v>77</v>
      </c>
      <c r="F11" s="2">
        <v>500</v>
      </c>
      <c r="G11" s="7">
        <v>46063</v>
      </c>
      <c r="H11" s="2" t="str">
        <f t="shared" si="0"/>
        <v>20%</v>
      </c>
      <c r="I11" s="2" t="str">
        <f t="shared" si="1"/>
        <v>AMANDA THOMAS</v>
      </c>
    </row>
    <row r="12" spans="1:12" x14ac:dyDescent="0.25">
      <c r="A12" s="2" t="s">
        <v>109</v>
      </c>
      <c r="B12" s="2" t="s">
        <v>115</v>
      </c>
      <c r="C12" s="2" t="s">
        <v>123</v>
      </c>
      <c r="D12" s="2" t="s">
        <v>124</v>
      </c>
      <c r="E12" s="2" t="s">
        <v>70</v>
      </c>
      <c r="F12" s="2">
        <v>700</v>
      </c>
      <c r="G12" s="7">
        <v>46067</v>
      </c>
      <c r="H12" s="2" t="str">
        <f t="shared" si="0"/>
        <v>20%</v>
      </c>
      <c r="I12" s="2" t="str">
        <f t="shared" si="1"/>
        <v>EMILY DAVIS</v>
      </c>
    </row>
    <row r="13" spans="1:12" x14ac:dyDescent="0.25">
      <c r="A13" s="2" t="s">
        <v>110</v>
      </c>
      <c r="B13" s="2" t="s">
        <v>118</v>
      </c>
      <c r="C13" s="2" t="s">
        <v>122</v>
      </c>
      <c r="D13" s="2" t="s">
        <v>127</v>
      </c>
      <c r="E13" s="2" t="s">
        <v>83</v>
      </c>
      <c r="F13" s="2">
        <v>90</v>
      </c>
      <c r="G13" s="7">
        <v>46070</v>
      </c>
      <c r="H13" s="2" t="str">
        <f t="shared" si="0"/>
        <v>5%</v>
      </c>
      <c r="I13" s="2" t="str">
        <f t="shared" si="1"/>
        <v>RACHEL MARTINEZ</v>
      </c>
    </row>
    <row r="14" spans="1:12" x14ac:dyDescent="0.25">
      <c r="A14" s="2" t="s">
        <v>111</v>
      </c>
      <c r="B14" s="2" t="s">
        <v>114</v>
      </c>
      <c r="C14" s="2" t="s">
        <v>121</v>
      </c>
      <c r="D14" s="2" t="s">
        <v>125</v>
      </c>
      <c r="E14" s="2" t="s">
        <v>65</v>
      </c>
      <c r="F14" s="2">
        <v>1200</v>
      </c>
      <c r="G14" s="7">
        <v>46074</v>
      </c>
      <c r="H14" s="2" t="str">
        <f t="shared" si="0"/>
        <v>25%</v>
      </c>
      <c r="I14" s="2" t="str">
        <f t="shared" si="1"/>
        <v>JANE DOE</v>
      </c>
    </row>
    <row r="15" spans="1:12" x14ac:dyDescent="0.25">
      <c r="A15" s="2" t="s">
        <v>112</v>
      </c>
      <c r="B15" s="2" t="s">
        <v>117</v>
      </c>
      <c r="C15" s="2" t="s">
        <v>120</v>
      </c>
      <c r="D15" s="2" t="s">
        <v>126</v>
      </c>
      <c r="E15" s="2" t="s">
        <v>78</v>
      </c>
      <c r="F15" s="2">
        <v>250</v>
      </c>
      <c r="G15" s="7">
        <v>46078</v>
      </c>
      <c r="H15" s="2" t="str">
        <f t="shared" si="0"/>
        <v>15%</v>
      </c>
      <c r="I15" s="2" t="str">
        <f t="shared" si="1"/>
        <v>ROBERT JACKSON</v>
      </c>
    </row>
    <row r="16" spans="1:12" x14ac:dyDescent="0.25">
      <c r="A16" s="2" t="s">
        <v>113</v>
      </c>
      <c r="B16" s="2" t="s">
        <v>116</v>
      </c>
      <c r="C16" s="2" t="s">
        <v>119</v>
      </c>
      <c r="D16" s="2" t="s">
        <v>124</v>
      </c>
      <c r="E16" s="2" t="s">
        <v>68</v>
      </c>
      <c r="F16" s="2">
        <v>75</v>
      </c>
      <c r="G16" s="7">
        <v>46081</v>
      </c>
      <c r="H16" s="2" t="str">
        <f t="shared" si="0"/>
        <v>5%</v>
      </c>
      <c r="I16" s="2" t="str">
        <f t="shared" si="1"/>
        <v>MICHAEL BROWN</v>
      </c>
    </row>
    <row r="18" spans="1:9" x14ac:dyDescent="0.25">
      <c r="A18" s="2" t="s">
        <v>95</v>
      </c>
      <c r="B18" s="1" t="str">
        <f>D3</f>
        <v>South</v>
      </c>
      <c r="D18" s="16" t="s">
        <v>130</v>
      </c>
      <c r="E18" s="16"/>
      <c r="F18" s="1" t="str">
        <f>B7</f>
        <v>PRD-02</v>
      </c>
      <c r="H18" s="2" t="s">
        <v>132</v>
      </c>
      <c r="I18" s="2" t="str">
        <f>E7</f>
        <v>Robert Jackson</v>
      </c>
    </row>
    <row r="19" spans="1:9" x14ac:dyDescent="0.25">
      <c r="A19" s="2" t="s">
        <v>129</v>
      </c>
      <c r="B19" s="1">
        <f>SUMIF(D2:D16,B18,F2:F16)</f>
        <v>2095</v>
      </c>
      <c r="D19" s="17" t="s">
        <v>94</v>
      </c>
      <c r="E19" s="18"/>
      <c r="F19" s="1" t="str">
        <f>VLOOKUP(F18,B1:H16,2,FALSE)</f>
        <v>Monitor</v>
      </c>
      <c r="H19" s="2" t="s">
        <v>133</v>
      </c>
      <c r="I19" s="2">
        <f>_xlfn.XLOOKUP(I18,E2:E16,F2:F16,"Not Found",0)</f>
        <v>75</v>
      </c>
    </row>
  </sheetData>
  <mergeCells count="2">
    <mergeCell ref="D18:E18"/>
    <mergeCell ref="D19:E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Student_Data</vt:lpstr>
      <vt:lpstr>Employees</vt:lpstr>
      <vt:lpstr>Sales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Niv Shankar</dc:creator>
  <cp:lastModifiedBy>Niv Shankar</cp:lastModifiedBy>
  <dcterms:created xsi:type="dcterms:W3CDTF">2026-08-25T12:40:59Z</dcterms:created>
  <dcterms:modified xsi:type="dcterms:W3CDTF">2026-09-02T18:20:26Z</dcterms:modified>
</cp:coreProperties>
</file>