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Excel\Project\"/>
    </mc:Choice>
  </mc:AlternateContent>
  <xr:revisionPtr revIDLastSave="0" documentId="13_ncr:1_{A2129888-CC76-4285-A820-0093C05281E4}" xr6:coauthVersionLast="47" xr6:coauthVersionMax="47" xr10:uidLastSave="{00000000-0000-0000-0000-000000000000}"/>
  <bookViews>
    <workbookView xWindow="-120" yWindow="-120" windowWidth="29040" windowHeight="15720" xr2:uid="{92314A4D-4ACA-45C3-A91E-B374281D158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20" i="1" l="1" a="1"/>
  <c r="D17" i="1"/>
  <c r="M3" i="1"/>
  <c r="M4" i="1"/>
  <c r="M5" i="1"/>
  <c r="M6" i="1"/>
  <c r="M7" i="1"/>
  <c r="M8" i="1"/>
  <c r="M9" i="1"/>
  <c r="M10" i="1"/>
  <c r="M11" i="1"/>
  <c r="M12" i="1"/>
  <c r="M13" i="1"/>
  <c r="M14" i="1"/>
  <c r="M15" i="1"/>
  <c r="M2" i="1"/>
  <c r="L2" i="1"/>
  <c r="K2" i="1"/>
  <c r="K3" i="1"/>
  <c r="K4" i="1"/>
  <c r="K5" i="1"/>
  <c r="K6" i="1"/>
  <c r="K7" i="1"/>
  <c r="K8" i="1"/>
  <c r="K9" i="1"/>
  <c r="K10" i="1"/>
  <c r="K11" i="1"/>
  <c r="K12" i="1"/>
  <c r="K13" i="1"/>
  <c r="K14" i="1"/>
  <c r="K15" i="1"/>
  <c r="J3" i="1"/>
  <c r="J12" i="1"/>
  <c r="I3" i="1"/>
  <c r="I4" i="1"/>
  <c r="I5" i="1"/>
  <c r="I6" i="1"/>
  <c r="I7" i="1"/>
  <c r="I8" i="1"/>
  <c r="I9" i="1"/>
  <c r="I10" i="1"/>
  <c r="I11" i="1"/>
  <c r="I12" i="1"/>
  <c r="I13" i="1"/>
  <c r="I14" i="1"/>
  <c r="I15" i="1"/>
  <c r="I2" i="1"/>
  <c r="H3" i="1"/>
  <c r="H4" i="1"/>
  <c r="J4" i="1" s="1"/>
  <c r="H5" i="1"/>
  <c r="J5" i="1" s="1"/>
  <c r="H6" i="1"/>
  <c r="J6" i="1" s="1"/>
  <c r="H7" i="1"/>
  <c r="J7" i="1" s="1"/>
  <c r="H8" i="1"/>
  <c r="J8" i="1" s="1"/>
  <c r="H9" i="1"/>
  <c r="J9" i="1" s="1"/>
  <c r="H10" i="1"/>
  <c r="J10" i="1" s="1"/>
  <c r="H11" i="1"/>
  <c r="J11" i="1" s="1"/>
  <c r="H12" i="1"/>
  <c r="H13" i="1"/>
  <c r="J13" i="1" s="1"/>
  <c r="H14" i="1"/>
  <c r="J14" i="1" s="1"/>
  <c r="H15" i="1"/>
  <c r="J15" i="1" s="1"/>
  <c r="H2" i="1"/>
  <c r="J2" i="1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<sst xmlns="http://schemas.openxmlformats.org/spreadsheetml/2006/main" count="44" uniqueCount="44">
  <si>
    <t>First Name</t>
  </si>
  <si>
    <t>Last Name</t>
  </si>
  <si>
    <t>English</t>
  </si>
  <si>
    <t>Maths</t>
  </si>
  <si>
    <t>Science</t>
  </si>
  <si>
    <t>Total</t>
  </si>
  <si>
    <t>Result</t>
  </si>
  <si>
    <t>Statistics</t>
  </si>
  <si>
    <t>Liam</t>
  </si>
  <si>
    <t>Smith</t>
  </si>
  <si>
    <t>Olivia</t>
  </si>
  <si>
    <t>Johnson</t>
  </si>
  <si>
    <t>Noah</t>
  </si>
  <si>
    <t>Williams</t>
  </si>
  <si>
    <t>Emma</t>
  </si>
  <si>
    <t>Brown</t>
  </si>
  <si>
    <t>Oliver</t>
  </si>
  <si>
    <t>Jones</t>
  </si>
  <si>
    <t>Ava</t>
  </si>
  <si>
    <t>Garcia</t>
  </si>
  <si>
    <t>Elijah</t>
  </si>
  <si>
    <t>Miller</t>
  </si>
  <si>
    <t>Charlotte</t>
  </si>
  <si>
    <t>Davis</t>
  </si>
  <si>
    <t>Sophia</t>
  </si>
  <si>
    <t>Rodriguez</t>
  </si>
  <si>
    <t>James</t>
  </si>
  <si>
    <t>Wilson</t>
  </si>
  <si>
    <t>Isabella</t>
  </si>
  <si>
    <t>Martinez</t>
  </si>
  <si>
    <t>Benjamin</t>
  </si>
  <si>
    <t>Anderson</t>
  </si>
  <si>
    <t>Mia</t>
  </si>
  <si>
    <t>Thomas</t>
  </si>
  <si>
    <t>Lucas</t>
  </si>
  <si>
    <t>Taylor</t>
  </si>
  <si>
    <t>Roll No.</t>
  </si>
  <si>
    <t>Grade</t>
  </si>
  <si>
    <t>Science &amp; Maths &gt; 80</t>
  </si>
  <si>
    <t>Maths &gt; 50</t>
  </si>
  <si>
    <t>Average Mark for student above 60</t>
  </si>
  <si>
    <t>Average Marks</t>
  </si>
  <si>
    <t>Student ID</t>
  </si>
  <si>
    <t xml:space="preserve">Name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</si>
</sst>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1" xfId="0" applyBorder="1"/>
    <xf numFmtId="0" fontId="0" fillId="0" borderId="1" xfId="0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</cellXfs>
  <cellStyles count="1">
    <cellStyle name="Normal" xfId="0" builtinId="0"/>
  </cellStyles>
  <dxfs count="31"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</dxf>
    <dxf>
      <border outline="0"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90C4238-B76A-4806-AC15-E7B791885F3A}" name="Table1" displayName="Table1" ref="A1:M15" headerRowCount="0" totalsRowShown="0" headerRowDxfId="30" dataDxfId="28" headerRowBorderDxfId="29" tableBorderDxfId="27" totalsRowBorderDxfId="26">
  <tableColumns count="13">
    <tableColumn id="1" xr3:uid="{B9A91C37-DB8A-4188-A9D9-7B6F4613A0BB}" name="Column1" headerRowDxfId="25" dataDxfId="24"/>
    <tableColumn id="2" xr3:uid="{2AE7BDE8-67EA-45F9-B882-3CB41B0228C4}" name="Column2" headerRowDxfId="23" dataDxfId="22"/>
    <tableColumn id="3" xr3:uid="{A0AD8A39-DA48-4508-8782-7D562CF130CD}" name="Column3" headerRowDxfId="21" dataDxfId="20"/>
    <tableColumn id="4" xr3:uid="{60278365-30C4-47BE-8685-7DBD377F3F6E}" name="Column4" headerRowDxfId="19" dataDxfId="18"/>
    <tableColumn id="5" xr3:uid="{B44072FF-8F67-4A02-A226-E44D972B8DDD}" name="Column5" headerRowDxfId="17" dataDxfId="16"/>
    <tableColumn id="6" xr3:uid="{A2846A1C-01FA-4D79-B21C-68B44FA7DA20}" name="Column6" headerRowDxfId="15" dataDxfId="14"/>
    <tableColumn id="7" xr3:uid="{856D0D81-A566-41FF-B5E4-D077BCF53EF9}" name="Column7" headerRowDxfId="13" dataDxfId="12"/>
    <tableColumn id="8" xr3:uid="{797BD4C6-58B1-48FA-A3EC-FCBC98DD3012}" name="Column8" headerRowDxfId="11" dataDxfId="10"/>
    <tableColumn id="9" xr3:uid="{B07F2650-109A-4E8A-B75F-6AEA73921066}" name="Column9" headerRowDxfId="9" dataDxfId="8"/>
    <tableColumn id="10" xr3:uid="{5969773D-7DBD-4754-B2D6-991BE5FC789F}" name="Column10" headerRowDxfId="6" dataDxfId="7"/>
    <tableColumn id="11" xr3:uid="{9E3FB14E-2380-4D1A-97A7-B9A90AFA9E68}" name="Column11" headerRowDxfId="4" dataDxfId="5"/>
    <tableColumn id="12" xr3:uid="{C941AA89-A9CB-47BC-B67E-646B97A9A523}" name="Column12" headerRowDxfId="2" dataDxfId="3"/>
    <tableColumn id="13" xr3:uid="{80060450-38E1-4303-81AF-10288E4BDFE9}" name="Column13" headerRowDxfId="0" dataDxfId="1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A81374-CF11-448B-BAE9-730CA8170C4E}">
  <dimension ref="A1:M20"/>
  <sheetViews>
    <sheetView tabSelected="1" zoomScale="175" zoomScaleNormal="175" workbookViewId="0">
      <selection activeCell="B20" sqref="B20"/>
    </sheetView>
  </sheetViews>
  <sheetFormatPr defaultRowHeight="15" x14ac:dyDescent="0.25"/>
  <cols>
    <col min="1" max="1" width="9.5703125" customWidth="1"/>
    <col min="2" max="2" width="11" bestFit="1" customWidth="1"/>
    <col min="3" max="3" width="10.5703125" bestFit="1" customWidth="1"/>
    <col min="4" max="9" width="9.5703125" customWidth="1"/>
    <col min="11" max="11" width="19.7109375" bestFit="1" customWidth="1"/>
    <col min="12" max="12" width="10.5703125" bestFit="1" customWidth="1"/>
    <col min="13" max="13" width="32.5703125" bestFit="1" customWidth="1"/>
  </cols>
  <sheetData>
    <row r="1" spans="1:13" ht="13.5" customHeight="1" x14ac:dyDescent="0.25">
      <c r="A1" s="3" t="s">
        <v>36</v>
      </c>
      <c r="B1" s="3" t="s">
        <v>0</v>
      </c>
      <c r="C1" s="3" t="s">
        <v>1</v>
      </c>
      <c r="D1" s="3" t="s">
        <v>3</v>
      </c>
      <c r="E1" s="3" t="s">
        <v>2</v>
      </c>
      <c r="F1" s="3" t="s">
        <v>4</v>
      </c>
      <c r="G1" s="3" t="s">
        <v>7</v>
      </c>
      <c r="H1" s="3" t="s">
        <v>5</v>
      </c>
      <c r="I1" s="3" t="s">
        <v>6</v>
      </c>
      <c r="J1" s="4" t="s">
        <v>37</v>
      </c>
      <c r="K1" s="4" t="s">
        <v>38</v>
      </c>
      <c r="L1" s="4" t="s">
        <v>39</v>
      </c>
      <c r="M1" s="4" t="s">
        <v>41</v>
      </c>
    </row>
    <row r="2" spans="1:13" ht="13.5" customHeight="1" x14ac:dyDescent="0.25">
      <c r="A2" s="2">
        <v>1</v>
      </c>
      <c r="B2" s="2" t="s">
        <v>8</v>
      </c>
      <c r="C2" s="2" t="s">
        <v>9</v>
      </c>
      <c r="D2" s="2">
        <v>85</v>
      </c>
      <c r="E2" s="2">
        <v>78</v>
      </c>
      <c r="F2" s="2">
        <v>92</v>
      </c>
      <c r="G2" s="2">
        <v>88</v>
      </c>
      <c r="H2" s="2">
        <f>SUBTOTAL(9,Table1[[#This Row],[Column4]:[Column7]])</f>
        <v>343</v>
      </c>
      <c r="I2" s="2" t="str">
        <f>IF(OR(D2&lt;33,E2&lt;33,F2&lt;33,G2&lt;33),"Fail","Pass")</f>
        <v>Pass</v>
      </c>
      <c r="J2" s="2" t="str">
        <f>IF(I2="Pass",IF((H2/4)&gt;80,"A",IF((H2/4)&gt;65,"B",IF((H2/4)&gt;45,"C","D"))),"F")</f>
        <v>A</v>
      </c>
      <c r="K2" s="2" t="str">
        <f>IF(AND(F2&gt;=80,D2&gt;=80),"True","False")</f>
        <v>True</v>
      </c>
      <c r="L2" s="5">
        <f>COUNTIF(D2:D15,"&gt;50")</f>
        <v>12</v>
      </c>
      <c r="M2" s="2">
        <f>IF(Table1[[#This Row],[Column9]]="Pass",AVERAGE(Table1[[#This Row],[Column4]:[Column7]]),"Not Appilicable for Failed Students")</f>
        <v>85.75</v>
      </c>
    </row>
    <row r="3" spans="1:13" ht="13.5" customHeight="1" x14ac:dyDescent="0.25">
      <c r="A3" s="2">
        <v>2</v>
      </c>
      <c r="B3" s="2" t="s">
        <v>10</v>
      </c>
      <c r="C3" s="2" t="s">
        <v>11</v>
      </c>
      <c r="D3" s="2">
        <v>65</v>
      </c>
      <c r="E3" s="2">
        <v>32</v>
      </c>
      <c r="F3" s="2">
        <v>76</v>
      </c>
      <c r="G3" s="2">
        <v>80</v>
      </c>
      <c r="H3" s="2">
        <f>SUBTOTAL(9,Table1[[#This Row],[Column4]:[Column7]])</f>
        <v>253</v>
      </c>
      <c r="I3" s="2" t="str">
        <f t="shared" ref="I3:I15" si="0">IF(OR(D3&lt;33,E3&lt;33,F3&lt;33,G3&lt;33),"Fail","Pass")</f>
        <v>Fail</v>
      </c>
      <c r="J3" s="2" t="str">
        <f t="shared" ref="J3:J15" si="1">IF(I3="Pass",IF((H3/4)&gt;80,"A",IF((H3/4)&gt;65,"B",IF((H3/4)&gt;45,"C","D"))),"F")</f>
        <v>F</v>
      </c>
      <c r="K3" s="2" t="str">
        <f t="shared" ref="K3:K15" si="2">IF(AND(F3&gt;=80,D3&gt;=80),"True","False")</f>
        <v>False</v>
      </c>
      <c r="L3" s="5"/>
      <c r="M3" s="2" t="str">
        <f>IF(Table1[[#This Row],[Column9]]="Pass",AVERAGE(Table1[[#This Row],[Column4]:[Column7]]),"Not Appilicable for Failed Students")</f>
        <v>Not Appilicable for Failed Students</v>
      </c>
    </row>
    <row r="4" spans="1:13" ht="13.5" customHeight="1" x14ac:dyDescent="0.25">
      <c r="A4" s="2">
        <v>3</v>
      </c>
      <c r="B4" s="2" t="s">
        <v>12</v>
      </c>
      <c r="C4" s="2" t="s">
        <v>13</v>
      </c>
      <c r="D4" s="2">
        <v>64</v>
      </c>
      <c r="E4" s="2">
        <v>70</v>
      </c>
      <c r="F4" s="2">
        <v>68</v>
      </c>
      <c r="G4" s="2">
        <v>72</v>
      </c>
      <c r="H4" s="2">
        <f>SUBTOTAL(9,Table1[[#This Row],[Column4]:[Column7]])</f>
        <v>274</v>
      </c>
      <c r="I4" s="2" t="str">
        <f t="shared" si="0"/>
        <v>Pass</v>
      </c>
      <c r="J4" s="2" t="str">
        <f t="shared" si="1"/>
        <v>B</v>
      </c>
      <c r="K4" s="2" t="str">
        <f t="shared" si="2"/>
        <v>False</v>
      </c>
      <c r="L4" s="5"/>
      <c r="M4" s="2">
        <f>IF(Table1[[#This Row],[Column9]]="Pass",AVERAGE(Table1[[#This Row],[Column4]:[Column7]]),"Not Appilicable for Failed Students")</f>
        <v>68.5</v>
      </c>
    </row>
    <row r="5" spans="1:13" ht="13.5" customHeight="1" x14ac:dyDescent="0.25">
      <c r="A5" s="2">
        <v>4</v>
      </c>
      <c r="B5" s="2" t="s">
        <v>14</v>
      </c>
      <c r="C5" s="2" t="s">
        <v>15</v>
      </c>
      <c r="D5" s="2">
        <v>45</v>
      </c>
      <c r="E5" s="2">
        <v>55</v>
      </c>
      <c r="F5" s="2">
        <v>48</v>
      </c>
      <c r="G5" s="2">
        <v>50</v>
      </c>
      <c r="H5" s="2">
        <f>SUBTOTAL(9,Table1[[#This Row],[Column4]:[Column7]])</f>
        <v>198</v>
      </c>
      <c r="I5" s="2" t="str">
        <f t="shared" si="0"/>
        <v>Pass</v>
      </c>
      <c r="J5" s="2" t="str">
        <f t="shared" si="1"/>
        <v>C</v>
      </c>
      <c r="K5" s="2" t="str">
        <f t="shared" si="2"/>
        <v>False</v>
      </c>
      <c r="L5" s="5"/>
      <c r="M5" s="2">
        <f>IF(Table1[[#This Row],[Column9]]="Pass",AVERAGE(Table1[[#This Row],[Column4]:[Column7]]),"Not Appilicable for Failed Students")</f>
        <v>49.5</v>
      </c>
    </row>
    <row r="6" spans="1:13" ht="13.5" customHeight="1" x14ac:dyDescent="0.25">
      <c r="A6" s="2">
        <v>5</v>
      </c>
      <c r="B6" s="2" t="s">
        <v>16</v>
      </c>
      <c r="C6" s="2" t="s">
        <v>17</v>
      </c>
      <c r="D6" s="2">
        <v>88</v>
      </c>
      <c r="E6" s="2">
        <v>91</v>
      </c>
      <c r="F6" s="2">
        <v>85</v>
      </c>
      <c r="G6" s="2">
        <v>87</v>
      </c>
      <c r="H6" s="2">
        <f>SUBTOTAL(9,Table1[[#This Row],[Column4]:[Column7]])</f>
        <v>351</v>
      </c>
      <c r="I6" s="2" t="str">
        <f t="shared" si="0"/>
        <v>Pass</v>
      </c>
      <c r="J6" s="2" t="str">
        <f t="shared" si="1"/>
        <v>A</v>
      </c>
      <c r="K6" s="2" t="str">
        <f t="shared" si="2"/>
        <v>True</v>
      </c>
      <c r="L6" s="5"/>
      <c r="M6" s="2">
        <f>IF(Table1[[#This Row],[Column9]]="Pass",AVERAGE(Table1[[#This Row],[Column4]:[Column7]]),"Not Appilicable for Failed Students")</f>
        <v>87.75</v>
      </c>
    </row>
    <row r="7" spans="1:13" x14ac:dyDescent="0.25">
      <c r="A7" s="2">
        <v>6</v>
      </c>
      <c r="B7" s="2" t="s">
        <v>18</v>
      </c>
      <c r="C7" s="2" t="s">
        <v>19</v>
      </c>
      <c r="D7" s="2">
        <v>73</v>
      </c>
      <c r="E7" s="2">
        <v>65</v>
      </c>
      <c r="F7" s="2">
        <v>74</v>
      </c>
      <c r="G7" s="2">
        <v>71</v>
      </c>
      <c r="H7" s="2">
        <f>SUBTOTAL(9,Table1[[#This Row],[Column4]:[Column7]])</f>
        <v>283</v>
      </c>
      <c r="I7" s="2" t="str">
        <f t="shared" si="0"/>
        <v>Pass</v>
      </c>
      <c r="J7" s="2" t="str">
        <f t="shared" si="1"/>
        <v>B</v>
      </c>
      <c r="K7" s="2" t="str">
        <f t="shared" si="2"/>
        <v>False</v>
      </c>
      <c r="L7" s="5"/>
      <c r="M7" s="2">
        <f>IF(Table1[[#This Row],[Column9]]="Pass",AVERAGE(Table1[[#This Row],[Column4]:[Column7]]),"Not Appilicable for Failed Students")</f>
        <v>70.75</v>
      </c>
    </row>
    <row r="8" spans="1:13" x14ac:dyDescent="0.25">
      <c r="A8" s="2">
        <v>7</v>
      </c>
      <c r="B8" s="2" t="s">
        <v>20</v>
      </c>
      <c r="C8" s="2" t="s">
        <v>21</v>
      </c>
      <c r="D8" s="2">
        <v>95</v>
      </c>
      <c r="E8" s="2">
        <v>96</v>
      </c>
      <c r="F8" s="2">
        <v>91</v>
      </c>
      <c r="G8" s="2">
        <v>94</v>
      </c>
      <c r="H8" s="2">
        <f>SUBTOTAL(9,Table1[[#This Row],[Column4]:[Column7]])</f>
        <v>376</v>
      </c>
      <c r="I8" s="2" t="str">
        <f t="shared" si="0"/>
        <v>Pass</v>
      </c>
      <c r="J8" s="2" t="str">
        <f t="shared" si="1"/>
        <v>A</v>
      </c>
      <c r="K8" s="2" t="str">
        <f t="shared" si="2"/>
        <v>True</v>
      </c>
      <c r="L8" s="5"/>
      <c r="M8" s="2">
        <f>IF(Table1[[#This Row],[Column9]]="Pass",AVERAGE(Table1[[#This Row],[Column4]:[Column7]]),"Not Appilicable for Failed Students")</f>
        <v>94</v>
      </c>
    </row>
    <row r="9" spans="1:13" x14ac:dyDescent="0.25">
      <c r="A9" s="2">
        <v>8</v>
      </c>
      <c r="B9" s="2" t="s">
        <v>22</v>
      </c>
      <c r="C9" s="2" t="s">
        <v>23</v>
      </c>
      <c r="D9" s="2">
        <v>58</v>
      </c>
      <c r="E9" s="2">
        <v>62</v>
      </c>
      <c r="F9" s="2">
        <v>60</v>
      </c>
      <c r="G9" s="2">
        <v>65</v>
      </c>
      <c r="H9" s="2">
        <f>SUBTOTAL(9,Table1[[#This Row],[Column4]:[Column7]])</f>
        <v>245</v>
      </c>
      <c r="I9" s="2" t="str">
        <f t="shared" si="0"/>
        <v>Pass</v>
      </c>
      <c r="J9" s="2" t="str">
        <f t="shared" si="1"/>
        <v>C</v>
      </c>
      <c r="K9" s="2" t="str">
        <f t="shared" si="2"/>
        <v>False</v>
      </c>
      <c r="L9" s="5"/>
      <c r="M9" s="2">
        <f>IF(Table1[[#This Row],[Column9]]="Pass",AVERAGE(Table1[[#This Row],[Column4]:[Column7]]),"Not Appilicable for Failed Students")</f>
        <v>61.25</v>
      </c>
    </row>
    <row r="10" spans="1:13" x14ac:dyDescent="0.25">
      <c r="A10" s="2">
        <v>9</v>
      </c>
      <c r="B10" s="2" t="s">
        <v>24</v>
      </c>
      <c r="C10" s="2" t="s">
        <v>25</v>
      </c>
      <c r="D10" s="2">
        <v>81</v>
      </c>
      <c r="E10" s="2">
        <v>84</v>
      </c>
      <c r="F10" s="2">
        <v>88</v>
      </c>
      <c r="G10" s="2">
        <v>83</v>
      </c>
      <c r="H10" s="2">
        <f>SUBTOTAL(9,Table1[[#This Row],[Column4]:[Column7]])</f>
        <v>336</v>
      </c>
      <c r="I10" s="2" t="str">
        <f t="shared" si="0"/>
        <v>Pass</v>
      </c>
      <c r="J10" s="2" t="str">
        <f t="shared" si="1"/>
        <v>A</v>
      </c>
      <c r="K10" s="2" t="str">
        <f t="shared" si="2"/>
        <v>True</v>
      </c>
      <c r="L10" s="5"/>
      <c r="M10" s="2">
        <f>IF(Table1[[#This Row],[Column9]]="Pass",AVERAGE(Table1[[#This Row],[Column4]:[Column7]]),"Not Appilicable for Failed Students")</f>
        <v>84</v>
      </c>
    </row>
    <row r="11" spans="1:13" x14ac:dyDescent="0.25">
      <c r="A11" s="2">
        <v>10</v>
      </c>
      <c r="B11" s="2" t="s">
        <v>26</v>
      </c>
      <c r="C11" s="2" t="s">
        <v>27</v>
      </c>
      <c r="D11" s="2">
        <v>77</v>
      </c>
      <c r="E11" s="2">
        <v>82</v>
      </c>
      <c r="F11" s="2">
        <v>80</v>
      </c>
      <c r="G11" s="2">
        <v>79</v>
      </c>
      <c r="H11" s="2">
        <f>SUBTOTAL(9,Table1[[#This Row],[Column4]:[Column7]])</f>
        <v>318</v>
      </c>
      <c r="I11" s="2" t="str">
        <f t="shared" si="0"/>
        <v>Pass</v>
      </c>
      <c r="J11" s="2" t="str">
        <f t="shared" si="1"/>
        <v>B</v>
      </c>
      <c r="K11" s="2" t="str">
        <f t="shared" si="2"/>
        <v>False</v>
      </c>
      <c r="L11" s="5"/>
      <c r="M11" s="2">
        <f>IF(Table1[[#This Row],[Column9]]="Pass",AVERAGE(Table1[[#This Row],[Column4]:[Column7]]),"Not Appilicable for Failed Students")</f>
        <v>79.5</v>
      </c>
    </row>
    <row r="12" spans="1:13" x14ac:dyDescent="0.25">
      <c r="A12" s="2">
        <v>11</v>
      </c>
      <c r="B12" s="2" t="s">
        <v>28</v>
      </c>
      <c r="C12" s="2" t="s">
        <v>29</v>
      </c>
      <c r="D12" s="2">
        <v>35</v>
      </c>
      <c r="E12" s="2">
        <v>60</v>
      </c>
      <c r="F12" s="2">
        <v>42</v>
      </c>
      <c r="G12" s="2">
        <v>30</v>
      </c>
      <c r="H12" s="2">
        <f>SUBTOTAL(9,Table1[[#This Row],[Column4]:[Column7]])</f>
        <v>167</v>
      </c>
      <c r="I12" s="2" t="str">
        <f t="shared" si="0"/>
        <v>Fail</v>
      </c>
      <c r="J12" s="2" t="str">
        <f t="shared" si="1"/>
        <v>F</v>
      </c>
      <c r="K12" s="2" t="str">
        <f t="shared" si="2"/>
        <v>False</v>
      </c>
      <c r="L12" s="5"/>
      <c r="M12" s="2" t="str">
        <f>IF(Table1[[#This Row],[Column9]]="Pass",AVERAGE(Table1[[#This Row],[Column4]:[Column7]]),"Not Appilicable for Failed Students")</f>
        <v>Not Appilicable for Failed Students</v>
      </c>
    </row>
    <row r="13" spans="1:13" x14ac:dyDescent="0.25">
      <c r="A13" s="2">
        <v>12</v>
      </c>
      <c r="B13" s="2" t="s">
        <v>30</v>
      </c>
      <c r="C13" s="2" t="s">
        <v>31</v>
      </c>
      <c r="D13" s="2">
        <v>89</v>
      </c>
      <c r="E13" s="2">
        <v>74</v>
      </c>
      <c r="F13" s="2">
        <v>83</v>
      </c>
      <c r="G13" s="2">
        <v>85</v>
      </c>
      <c r="H13" s="2">
        <f>SUBTOTAL(9,Table1[[#This Row],[Column4]:[Column7]])</f>
        <v>331</v>
      </c>
      <c r="I13" s="2" t="str">
        <f t="shared" si="0"/>
        <v>Pass</v>
      </c>
      <c r="J13" s="2" t="str">
        <f t="shared" si="1"/>
        <v>A</v>
      </c>
      <c r="K13" s="2" t="str">
        <f t="shared" si="2"/>
        <v>True</v>
      </c>
      <c r="L13" s="5"/>
      <c r="M13" s="2">
        <f>IF(Table1[[#This Row],[Column9]]="Pass",AVERAGE(Table1[[#This Row],[Column4]:[Column7]]),"Not Appilicable for Failed Students")</f>
        <v>82.75</v>
      </c>
    </row>
    <row r="14" spans="1:13" x14ac:dyDescent="0.25">
      <c r="A14" s="2">
        <v>13</v>
      </c>
      <c r="B14" s="2" t="s">
        <v>32</v>
      </c>
      <c r="C14" s="2" t="s">
        <v>33</v>
      </c>
      <c r="D14" s="2">
        <v>91</v>
      </c>
      <c r="E14" s="2">
        <v>93</v>
      </c>
      <c r="F14" s="2">
        <v>87</v>
      </c>
      <c r="G14" s="2">
        <v>89</v>
      </c>
      <c r="H14" s="2">
        <f>SUBTOTAL(9,Table1[[#This Row],[Column4]:[Column7]])</f>
        <v>360</v>
      </c>
      <c r="I14" s="2" t="str">
        <f t="shared" si="0"/>
        <v>Pass</v>
      </c>
      <c r="J14" s="2" t="str">
        <f t="shared" si="1"/>
        <v>A</v>
      </c>
      <c r="K14" s="2" t="str">
        <f t="shared" si="2"/>
        <v>True</v>
      </c>
      <c r="L14" s="5"/>
      <c r="M14" s="2">
        <f>IF(Table1[[#This Row],[Column9]]="Pass",AVERAGE(Table1[[#This Row],[Column4]:[Column7]]),"Not Appilicable for Failed Students")</f>
        <v>90</v>
      </c>
    </row>
    <row r="15" spans="1:13" x14ac:dyDescent="0.25">
      <c r="A15" s="2">
        <v>14</v>
      </c>
      <c r="B15" s="2" t="s">
        <v>34</v>
      </c>
      <c r="C15" s="2" t="s">
        <v>35</v>
      </c>
      <c r="D15" s="2">
        <v>62</v>
      </c>
      <c r="E15" s="2">
        <v>58</v>
      </c>
      <c r="F15" s="2">
        <v>65</v>
      </c>
      <c r="G15" s="2">
        <v>59</v>
      </c>
      <c r="H15" s="2">
        <f>SUBTOTAL(9,Table1[[#This Row],[Column4]:[Column7]])</f>
        <v>244</v>
      </c>
      <c r="I15" s="2" t="str">
        <f t="shared" si="0"/>
        <v>Pass</v>
      </c>
      <c r="J15" s="2" t="str">
        <f t="shared" si="1"/>
        <v>C</v>
      </c>
      <c r="K15" s="2" t="str">
        <f t="shared" si="2"/>
        <v>False</v>
      </c>
      <c r="L15" s="6"/>
      <c r="M15" s="2">
        <f>IF(Table1[[#This Row],[Column9]]="Pass",AVERAGE(Table1[[#This Row],[Column4]:[Column7]]),"Not Appilicable for Failed Students")</f>
        <v>61</v>
      </c>
    </row>
    <row r="16" spans="1:13" x14ac:dyDescent="0.25">
      <c r="A16" s="1"/>
      <c r="B16" s="1"/>
      <c r="C16" s="1"/>
      <c r="D16" s="1"/>
      <c r="E16" s="1"/>
      <c r="F16" s="1"/>
      <c r="G16" s="1"/>
      <c r="H16" s="1"/>
      <c r="I16" s="1"/>
    </row>
    <row r="17" spans="1:4" x14ac:dyDescent="0.25">
      <c r="A17" s="7" t="s">
        <v>40</v>
      </c>
      <c r="B17" s="7"/>
      <c r="C17" s="7"/>
      <c r="D17" s="1">
        <f>AVERAGEIF(M2:M15,"&gt;60")</f>
        <v>78.659090909090907</v>
      </c>
    </row>
    <row r="19" spans="1:4" x14ac:dyDescent="0.25">
      <c r="A19" s="8" t="s">
        <v>42</v>
      </c>
      <c r="B19" s="9"/>
      <c r="C19">
        <v>1</v>
      </c>
    </row>
    <row r="20" spans="1:4" x14ac:dyDescent="0.25">
      <c r="A20" s="1" t="s">
        <v>43</v>
      </c>
      <c r="B20" s="1" t="e" cm="1">
        <f t="array" ref="B20">VLOOKUP(C19,A2:A15,B2:B15,FALSE)</f>
        <v>#REF!</v>
      </c>
    </row>
  </sheetData>
  <mergeCells count="2">
    <mergeCell ref="A17:C17"/>
    <mergeCell ref="A19:B19"/>
  </mergeCells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Niv Shankar</dc:creator>
  <cp:lastModifiedBy>Niv Shankar</cp:lastModifiedBy>
  <dcterms:created xsi:type="dcterms:W3CDTF">2026-08-25T12:40:59Z</dcterms:created>
  <dcterms:modified xsi:type="dcterms:W3CDTF">2026-08-31T15:12:26Z</dcterms:modified>
</cp:coreProperties>
</file>