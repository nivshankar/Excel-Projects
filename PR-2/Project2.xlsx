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Excel\Project\PR-2\"/>
    </mc:Choice>
  </mc:AlternateContent>
  <xr:revisionPtr revIDLastSave="0" documentId="13_ncr:1_{130153CA-0ECD-41F1-93F4-568E064E4278}" xr6:coauthVersionLast="47" xr6:coauthVersionMax="47" xr10:uidLastSave="{00000000-0000-0000-0000-000000000000}"/>
  <bookViews>
    <workbookView xWindow="-120" yWindow="-120" windowWidth="29040" windowHeight="15720" firstSheet="1" activeTab="6" xr2:uid="{1177A33C-BB12-4F41-985E-248E834D31FE}"/>
  </bookViews>
  <sheets>
    <sheet name="Monthly Sales Growth" sheetId="3" r:id="rId1"/>
    <sheet name="Dashboard" sheetId="8" r:id="rId2"/>
    <sheet name="Data Sheet" sheetId="1" r:id="rId3"/>
    <sheet name="High Value Customer" sheetId="6" r:id="rId4"/>
    <sheet name="Sales_By_Region_Product" sheetId="7" r:id="rId5"/>
    <sheet name="What IF " sheetId="5" r:id="rId6"/>
    <sheet name="Descriptive Analysis" sheetId="2" r:id="rId7"/>
  </sheets>
  <definedNames>
    <definedName name="_xlnm._FilterDatabase" localSheetId="3" hidden="1">'High Value Customer'!$A$1:$A$200</definedName>
    <definedName name="NativeTimeline_Order_Date">#N/A</definedName>
    <definedName name="Slicer_Region">#N/A</definedName>
  </definedNames>
  <calcPr calcId="191029"/>
  <pivotCaches>
    <pivotCache cacheId="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6" l="1"/>
  <c r="G9" i="6"/>
  <c r="F9" i="6"/>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D6" i="3" a="1"/>
  <c r="D15" i="3" a="1"/>
  <c r="D18" i="3" a="1"/>
  <c r="D5" i="3" a="1"/>
  <c r="C7" i="3"/>
  <c r="D7" i="3" s="1" a="1"/>
  <c r="C8" i="3"/>
  <c r="D8" i="3" s="1" a="1"/>
  <c r="C9" i="3"/>
  <c r="D9" i="3" s="1" a="1"/>
  <c r="C10" i="3"/>
  <c r="D10" i="3" s="1" a="1"/>
  <c r="C11" i="3"/>
  <c r="D11" i="3" s="1" a="1"/>
  <c r="C12" i="3"/>
  <c r="D12" i="3" s="1" a="1"/>
  <c r="C13" i="3"/>
  <c r="D13" i="3" s="1" a="1"/>
  <c r="C16" i="3"/>
  <c r="D16" i="3" s="1" a="1"/>
  <c r="C17" i="3"/>
  <c r="D17" i="3" s="1" a="1"/>
  <c r="C18" i="3"/>
  <c r="C6" i="3"/>
  <c r="C7" i="5"/>
  <c r="C6" i="5"/>
  <c r="C5" i="5"/>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 i="1"/>
  <c r="G6" i="5" l="1"/>
  <c r="J5" i="5" s="1"/>
  <c r="G7"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<sst xmlns="http://schemas.openxmlformats.org/spreadsheetml/2006/main" count="912" uniqueCount="135">
  <si>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</si>
  <si>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</si>
  <si>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</si>
  <si>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</si>
  <si>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</si>
  <si>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</si>
  <si>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</si>
  <si>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</si>
  <si>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</si>
  <si>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</si>
  <si>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</si>
  <si>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</si>
  <si>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</si>
  <si>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</si>
  <si>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</si>
  <si>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</si>
  <si>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</si>
  <si>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</si>
  <si>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</si>
  <si>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</si>
  <si>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</si>
  <si>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</si>
  <si>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</si>
  <si>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</si>
  <si>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</si>
  <si>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</si>
  <si>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</si>
  <si>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</si>
  <si>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</si>
  <si>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</si>
  <si>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</si>
  <si>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</si>
  <si>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</si>
  <si>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</si>
  <si>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</si>
  <si>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</si>
  <si>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</si>
  <si>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</si>
  <si>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</si>
  <si>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</si>
  <si>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</si>
  <si>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</si>
  <si>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</si>
  <si>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</si>
  <si>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</si>
  <si>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</si>
  <si>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</si>
  <si>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</si>
  <si>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</si>
  <si>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</si>
  <si>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</si>
  <si>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</si>
  <si>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</si>
  <si>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</si>
  <si>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</si>
  <si>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</si>
  <si>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</si>
  <si>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</si>
  <si>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</si>
  <si>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</si>
  <si>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</si>
  <si>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</si>
  <si>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</si>
  <si>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</si>
  <si>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</si>
  <si>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</si>
  <si>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</si>
  <si>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</si>
  <si>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</si>
  <si>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</si>
  <si>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</si>
  <si>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</si>
  <si>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</si>
  <si>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</si>
  <si>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</si>
  <si>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</si>
  <si>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New Discount Rate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</si>
  <si>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</si>
  <si>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</si>
  <si>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</si>
  <si>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</si>
  <si>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</si>
  <si>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</si>
  <si>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</si>
  <si>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</si>
  <si>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</si>
  <si>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</si>
  <si>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</si>
  <si>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</si>
  <si>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</si>
  <si>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</si>
  <si>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</si>
  <si>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</si>
  <si>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</si>
  <si>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</si>
  <si>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</si>
  <si>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</si>
  <si>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</si>
  <si>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</si>
  <si>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</si>
  <si>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</si>
  <si>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</si>
  <si>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Month</t>
  </si>
  <si>
    <t>Grand Total</t>
  </si>
  <si>
    <t>Row Labels</t>
  </si>
  <si>
    <t>Sum of Sales</t>
  </si>
  <si>
    <t xml:space="preserve">Trend </t>
  </si>
  <si>
    <t>May</t>
  </si>
  <si>
    <t>Average Discount rate</t>
  </si>
  <si>
    <t xml:space="preserve">Total Sales </t>
  </si>
  <si>
    <t>Total Profit</t>
  </si>
  <si>
    <t>Total Profit at new Discount</t>
  </si>
  <si>
    <t>New Vs Current Profit</t>
  </si>
  <si>
    <t>2024</t>
  </si>
  <si>
    <t>2025</t>
  </si>
  <si>
    <t>Apr</t>
  </si>
  <si>
    <t>Jun</t>
  </si>
  <si>
    <t>Jul</t>
  </si>
  <si>
    <t>Aug</t>
  </si>
  <si>
    <t>Sep</t>
  </si>
  <si>
    <t>Oct</t>
  </si>
  <si>
    <t>Nov</t>
  </si>
  <si>
    <t>Dec</t>
  </si>
  <si>
    <t>Jan</t>
  </si>
  <si>
    <t>Feb</t>
  </si>
  <si>
    <t>Mar</t>
  </si>
  <si>
    <t>-</t>
  </si>
  <si>
    <t>Time Stamp</t>
  </si>
  <si>
    <t xml:space="preserve">Name </t>
  </si>
  <si>
    <t>Bought</t>
  </si>
  <si>
    <t>High Value Customers = Yellow Highlighted Bought value</t>
  </si>
  <si>
    <t>Highest Value Customer</t>
  </si>
  <si>
    <t>Name</t>
  </si>
  <si>
    <t xml:space="preserve">Customer ID </t>
  </si>
  <si>
    <t>Sales &amp; Profit Executive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</si>
</sst>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409]* #,##0.00_ ;_-[$$-409]* \-#,##0.00\ ;_-[$$-409]* &quot;-&quot;??_ ;_-@_ "/>
    <numFmt numFmtId="165" formatCode="\_xd83d_\_xdcb5_"/>
    <numFmt numFmtId="166" formatCode="dd/mm/yyyy\ hh:mm:ss"/>
  </numFmts>
  <fonts count="9" x14ac:knownFonts="1">
    <font>
      <sz val="11"/>
      <color theme="1"/>
      <name val="Calibri"/>
      <family val="2"/>
      <scheme val="minor"/>
    </font>
    <font>
      <sz val="11"/>
      <color theme="1"/>
      <name val="Calibri"/>
      <family val="2"/>
      <scheme val="minor"/>
    </font>
    <font>
      <b/>
      <sz val="14"/>
      <color theme="1"/>
      <name val="Calibri"/>
      <family val="2"/>
      <scheme val="minor"/>
    </font>
    <font>
      <sz val="12"/>
      <color theme="1"/>
      <name val="Calibri"/>
      <family val="2"/>
      <scheme val="minor"/>
    </font>
    <font>
      <i/>
      <sz val="11"/>
      <color theme="1"/>
      <name val="Calibri"/>
      <family val="2"/>
      <scheme val="minor"/>
    </font>
    <font>
      <b/>
      <sz val="11"/>
      <color theme="1"/>
      <name val="Calibri"/>
      <family val="2"/>
      <scheme val="minor"/>
    </font>
    <font>
      <b/>
      <i/>
      <sz val="16"/>
      <color theme="1"/>
      <name val="Calibri"/>
      <family val="2"/>
      <scheme val="minor"/>
    </font>
    <font>
      <b/>
      <sz val="12"/>
      <color theme="1"/>
      <name val="Calibri"/>
      <family val="2"/>
      <scheme val="minor"/>
    </font>
    <font>
      <b/>
      <sz val="22"/>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style="thin">
        <color theme="5" tint="0.59999389629810485"/>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3">
    <xf numFmtId="0" fontId="0" fillId="0" borderId="0" xfId="0"/>
    <xf numFmtId="0" fontId="0" fillId="0" borderId="0" xfId="0"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0" fillId="0" borderId="0" xfId="2" applyNumberFormat="1" applyFont="1"/>
    <xf numFmtId="164" fontId="2" fillId="0" borderId="1" xfId="1" applyNumberFormat="1" applyFont="1" applyBorder="1" applyAlignment="1">
      <alignment horizontal="center" vertical="center" wrapText="1"/>
    </xf>
    <xf numFmtId="164" fontId="3" fillId="0" borderId="1" xfId="1" applyNumberFormat="1" applyFont="1" applyBorder="1" applyAlignment="1">
      <alignment horizontal="center" vertical="center" wrapText="1"/>
    </xf>
    <xf numFmtId="164" fontId="0" fillId="0" borderId="0" xfId="1" applyNumberFormat="1" applyFont="1" applyAlignment="1">
      <alignment horizontal="center" vertical="center"/>
    </xf>
    <xf numFmtId="164" fontId="0" fillId="0" borderId="0" xfId="0" applyNumberFormat="1"/>
    <xf numFmtId="0" fontId="0" fillId="0" borderId="1" xfId="0" applyBorder="1"/>
    <xf numFmtId="164" fontId="0" fillId="0" borderId="1" xfId="0" applyNumberFormat="1" applyBorder="1"/>
    <xf numFmtId="0" fontId="0" fillId="0" borderId="2" xfId="0" applyBorder="1"/>
    <xf numFmtId="0" fontId="4" fillId="0" borderId="3" xfId="0" applyFont="1" applyBorder="1" applyAlignment="1">
      <alignment horizontal="center"/>
    </xf>
    <xf numFmtId="0" fontId="4" fillId="0" borderId="3" xfId="0" applyFont="1" applyBorder="1" applyAlignment="1">
      <alignment horizontal="centerContinuous"/>
    </xf>
    <xf numFmtId="0" fontId="0" fillId="0" borderId="0" xfId="0" pivotButton="1"/>
    <xf numFmtId="0" fontId="0" fillId="0" borderId="0" xfId="0" applyAlignment="1">
      <alignment horizontal="left"/>
    </xf>
    <xf numFmtId="164" fontId="3" fillId="0" borderId="0" xfId="1" applyNumberFormat="1" applyFont="1" applyBorder="1" applyAlignment="1">
      <alignment horizontal="center" vertical="center" wrapText="1"/>
    </xf>
    <xf numFmtId="10" fontId="0" fillId="0" borderId="0" xfId="0" applyNumberFormat="1"/>
    <xf numFmtId="10" fontId="0" fillId="0" borderId="1" xfId="0" applyNumberFormat="1" applyBorder="1"/>
    <xf numFmtId="9" fontId="0" fillId="0" borderId="1" xfId="2" applyFont="1" applyBorder="1" applyAlignment="1">
      <alignment vertical="center"/>
    </xf>
    <xf numFmtId="165"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9" fontId="0" fillId="0" borderId="1" xfId="2" applyFont="1" applyBorder="1" applyAlignment="1">
      <alignment horizontal="center" vertical="center"/>
    </xf>
    <xf numFmtId="0" fontId="0" fillId="0" borderId="0" xfId="0" applyAlignment="1">
      <alignment horizontal="left" indent="1"/>
    </xf>
    <xf numFmtId="2" fontId="0" fillId="0" borderId="0" xfId="2" applyNumberFormat="1" applyFont="1"/>
    <xf numFmtId="0" fontId="2" fillId="0" borderId="1" xfId="0" applyFont="1" applyBorder="1" applyAlignment="1">
      <alignment horizontal="center" vertical="center"/>
    </xf>
    <xf numFmtId="166" fontId="0" fillId="0" borderId="1" xfId="0" applyNumberFormat="1" applyBorder="1"/>
    <xf numFmtId="0" fontId="0" fillId="0" borderId="1" xfId="0" applyBorder="1" applyAlignment="1">
      <alignment vertical="center"/>
    </xf>
    <xf numFmtId="0" fontId="0" fillId="0" borderId="0" xfId="0" applyAlignment="1">
      <alignment vertical="center"/>
    </xf>
    <xf numFmtId="0" fontId="3" fillId="0" borderId="1" xfId="0" pivotButton="1" applyFont="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6" fillId="2" borderId="0" xfId="0" applyFont="1" applyFill="1" applyAlignment="1">
      <alignment horizontal="center" vertical="center"/>
    </xf>
    <xf numFmtId="0" fontId="7" fillId="0" borderId="1" xfId="0" applyFont="1" applyBorder="1" applyAlignment="1">
      <alignment horizontal="center" vertical="center"/>
    </xf>
    <xf numFmtId="0" fontId="0" fillId="3" borderId="0" xfId="0" applyFill="1"/>
    <xf numFmtId="0" fontId="0" fillId="3" borderId="4" xfId="0" applyFill="1" applyBorder="1"/>
    <xf numFmtId="0" fontId="8" fillId="4" borderId="0" xfId="0" applyFont="1" applyFill="1" applyAlignment="1">
      <alignment horizontal="center" vertical="center"/>
    </xf>
    <xf numFmtId="10" fontId="0" fillId="3" borderId="0" xfId="0" applyNumberFormat="1" applyFill="1"/>
    <xf numFmtId="0" fontId="5" fillId="3" borderId="0" xfId="0" applyFont="1" applyFill="1" applyAlignment="1">
      <alignment horizontal="center" vertical="center"/>
    </xf>
    <xf numFmtId="0" fontId="5" fillId="3" borderId="0" xfId="0" applyFont="1" applyFill="1" applyAlignment="1">
      <alignment horizontal="center" vertical="center"/>
    </xf>
    <xf numFmtId="0" fontId="0" fillId="3" borderId="0" xfId="0" applyFill="1" applyBorder="1" applyAlignment="1">
      <alignment vertical="center"/>
    </xf>
  </cellXfs>
  <cellStyles count="3">
    <cellStyle name="Currency" xfId="1" builtinId="4"/>
    <cellStyle name="Normal" xfId="0" builtinId="0"/>
    <cellStyle name="Percent" xfId="2" builtinId="5"/>
  </cellStyles>
  <dxfs count="44">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[Project2.xlsx]Sales_By_Region_Product!PivotTable4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Sales_By_Region_Product!$B$1:$B$2</c:f>
              <c:strCache>
                <c:ptCount val="1"/>
                <c:pt idx="0">
                  <c:v>Central</c:v>
                </c:pt>
              </c:strCache>
            </c:strRef>
          </c:tx>
          <c:spPr>
            <a:solidFill>
              <a:schemeClr val="accent1"/>
            </a:solidFill>
            <a:ln>
              <a:noFill/>
            </a:ln>
            <a:effectLst/>
          </c:spPr>
          <c:invertIfNegative val="0"/>
          <c:cat>
            <c:strRef>
              <c:f>Sales_By_Region_Product!$A$3:$A$8</c:f>
              <c:strCache>
                <c:ptCount val="5"/>
                <c:pt idx="0">
                  <c:v>Books</c:v>
                </c:pt>
                <c:pt idx="1">
                  <c:v>Clothing</c:v>
                </c:pt>
                <c:pt idx="2">
                  <c:v>Electronics</c:v>
                </c:pt>
                <c:pt idx="3">
                  <c:v>Furniture</c:v>
                </c:pt>
                <c:pt idx="4">
                  <c:v>Office Supplies</c:v>
                </c:pt>
              </c:strCache>
            </c:strRef>
          </c:cat>
          <c:val>
            <c:numRef>
              <c:f>Sales_By_Region_Product!$B$3:$B$8</c:f>
              <c:numCache>
                <c:formatCode>_-[$$-409]* #,##0.00_ ;_-[$$-409]* \-#,##0.00\ ;_-[$$-409]* "-"??_ ;_-@_ </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54ED-4A67-AE80-33EB32553763}"/>
            </c:ext>
          </c:extLst>
        </c:ser>
        <c:ser>
          <c:idx val="1"/>
          <c:order val="1"/>
          <c:tx>
            <c:strRef>
              <c:f>Sales_By_Region_Product!$C$1:$C$2</c:f>
              <c:strCache>
                <c:ptCount val="1"/>
                <c:pt idx="0">
                  <c:v>East</c:v>
                </c:pt>
              </c:strCache>
            </c:strRef>
          </c:tx>
          <c:spPr>
            <a:solidFill>
              <a:schemeClr val="accent2"/>
            </a:solidFill>
            <a:ln>
              <a:noFill/>
            </a:ln>
            <a:effectLst/>
          </c:spPr>
          <c:invertIfNegative val="0"/>
          <c:cat>
            <c:strRef>
              <c:f>Sales_By_Region_Product!$A$3:$A$8</c:f>
              <c:strCache>
                <c:ptCount val="5"/>
                <c:pt idx="0">
                  <c:v>Books</c:v>
                </c:pt>
                <c:pt idx="1">
                  <c:v>Clothing</c:v>
                </c:pt>
                <c:pt idx="2">
                  <c:v>Electronics</c:v>
                </c:pt>
                <c:pt idx="3">
                  <c:v>Furniture</c:v>
                </c:pt>
                <c:pt idx="4">
                  <c:v>Office Supplies</c:v>
                </c:pt>
              </c:strCache>
            </c:strRef>
          </c:cat>
          <c:val>
            <c:numRef>
              <c:f>Sales_By_Region_Product!$C$3:$C$8</c:f>
              <c:numCache>
                <c:formatCode>_-[$$-409]* #,##0.00_ ;_-[$$-409]* \-#,##0.00\ ;_-[$$-409]* "-"??_ ;_-@_ </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01-54ED-4A67-AE80-33EB32553763}"/>
            </c:ext>
          </c:extLst>
        </c:ser>
        <c:ser>
          <c:idx val="2"/>
          <c:order val="2"/>
          <c:tx>
            <c:strRef>
              <c:f>Sales_By_Region_Product!$D$1:$D$2</c:f>
              <c:strCache>
                <c:ptCount val="1"/>
                <c:pt idx="0">
                  <c:v>North</c:v>
                </c:pt>
              </c:strCache>
            </c:strRef>
          </c:tx>
          <c:spPr>
            <a:solidFill>
              <a:schemeClr val="accent3"/>
            </a:solidFill>
            <a:ln>
              <a:noFill/>
            </a:ln>
            <a:effectLst/>
          </c:spPr>
          <c:invertIfNegative val="0"/>
          <c:cat>
            <c:strRef>
              <c:f>Sales_By_Region_Product!$A$3:$A$8</c:f>
              <c:strCache>
                <c:ptCount val="5"/>
                <c:pt idx="0">
                  <c:v>Books</c:v>
                </c:pt>
                <c:pt idx="1">
                  <c:v>Clothing</c:v>
                </c:pt>
                <c:pt idx="2">
                  <c:v>Electronics</c:v>
                </c:pt>
                <c:pt idx="3">
                  <c:v>Furniture</c:v>
                </c:pt>
                <c:pt idx="4">
                  <c:v>Office Supplies</c:v>
                </c:pt>
              </c:strCache>
            </c:strRef>
          </c:cat>
          <c:val>
            <c:numRef>
              <c:f>Sales_By_Region_Product!$D$3:$D$8</c:f>
              <c:numCache>
                <c:formatCode>_-[$$-409]* #,##0.00_ ;_-[$$-409]* \-#,##0.00\ ;_-[$$-409]* "-"??_ ;_-@_ </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02-54ED-4A67-AE80-33EB32553763}"/>
            </c:ext>
          </c:extLst>
        </c:ser>
        <c:ser>
          <c:idx val="3"/>
          <c:order val="3"/>
          <c:tx>
            <c:strRef>
              <c:f>Sales_By_Region_Product!$E$1:$E$2</c:f>
              <c:strCache>
                <c:ptCount val="1"/>
                <c:pt idx="0">
                  <c:v>South</c:v>
                </c:pt>
              </c:strCache>
            </c:strRef>
          </c:tx>
          <c:spPr>
            <a:solidFill>
              <a:schemeClr val="accent4"/>
            </a:solidFill>
            <a:ln>
              <a:noFill/>
            </a:ln>
            <a:effectLst/>
          </c:spPr>
          <c:invertIfNegative val="0"/>
          <c:cat>
            <c:strRef>
              <c:f>Sales_By_Region_Product!$A$3:$A$8</c:f>
              <c:strCache>
                <c:ptCount val="5"/>
                <c:pt idx="0">
                  <c:v>Books</c:v>
                </c:pt>
                <c:pt idx="1">
                  <c:v>Clothing</c:v>
                </c:pt>
                <c:pt idx="2">
                  <c:v>Electronics</c:v>
                </c:pt>
                <c:pt idx="3">
                  <c:v>Furniture</c:v>
                </c:pt>
                <c:pt idx="4">
                  <c:v>Office Supplies</c:v>
                </c:pt>
              </c:strCache>
            </c:strRef>
          </c:cat>
          <c:val>
            <c:numRef>
              <c:f>Sales_By_Region_Product!$E$3:$E$8</c:f>
              <c:numCache>
                <c:formatCode>_-[$$-409]* #,##0.00_ ;_-[$$-409]* \-#,##0.00\ ;_-[$$-409]* "-"??_ ;_-@_ </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03-54ED-4A67-AE80-33EB32553763}"/>
            </c:ext>
          </c:extLst>
        </c:ser>
        <c:ser>
          <c:idx val="4"/>
          <c:order val="4"/>
          <c:tx>
            <c:strRef>
              <c:f>Sales_By_Region_Product!$F$1:$F$2</c:f>
              <c:strCache>
                <c:ptCount val="1"/>
                <c:pt idx="0">
                  <c:v>West</c:v>
                </c:pt>
              </c:strCache>
            </c:strRef>
          </c:tx>
          <c:spPr>
            <a:solidFill>
              <a:schemeClr val="accent5"/>
            </a:solidFill>
            <a:ln>
              <a:noFill/>
            </a:ln>
            <a:effectLst/>
          </c:spPr>
          <c:invertIfNegative val="0"/>
          <c:cat>
            <c:strRef>
              <c:f>Sales_By_Region_Product!$A$3:$A$8</c:f>
              <c:strCache>
                <c:ptCount val="5"/>
                <c:pt idx="0">
                  <c:v>Books</c:v>
                </c:pt>
                <c:pt idx="1">
                  <c:v>Clothing</c:v>
                </c:pt>
                <c:pt idx="2">
                  <c:v>Electronics</c:v>
                </c:pt>
                <c:pt idx="3">
                  <c:v>Furniture</c:v>
                </c:pt>
                <c:pt idx="4">
                  <c:v>Office Supplies</c:v>
                </c:pt>
              </c:strCache>
            </c:strRef>
          </c:cat>
          <c:val>
            <c:numRef>
              <c:f>Sales_By_Region_Product!$F$3:$F$8</c:f>
              <c:numCache>
                <c:formatCode>_-[$$-409]* #,##0.00_ ;_-[$$-409]* \-#,##0.00\ ;_-[$$-409]* "-"??_ ;_-@_ </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04-54ED-4A67-AE80-33EB32553763}"/>
            </c:ext>
          </c:extLst>
        </c:ser>
        <c:dLbls>
          <c:showLegendKey val="0"/>
          <c:showVal val="0"/>
          <c:showCatName val="0"/>
          <c:showSerName val="0"/>
          <c:showPercent val="0"/>
          <c:showBubbleSize val="0"/>
        </c:dLbls>
        <c:gapWidth val="219"/>
        <c:overlap val="-27"/>
        <c:axId val="1626314911"/>
        <c:axId val="1418017935"/>
      </c:barChart>
      <c:catAx>
        <c:axId val="162631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17935"/>
        <c:crosses val="autoZero"/>
        <c:auto val="1"/>
        <c:lblAlgn val="ctr"/>
        <c:lblOffset val="100"/>
        <c:noMultiLvlLbl val="0"/>
      </c:catAx>
      <c:valAx>
        <c:axId val="141801793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31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[Project2.xlsx]Sales_By_Region_Product!PivotTable4</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Sales_By_Region_Product!$B$1:$B$2</c:f>
              <c:strCache>
                <c:ptCount val="1"/>
                <c:pt idx="0">
                  <c:v>Central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73B4-4D81-AE0D-9A67A9CD15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73B4-4D81-AE0D-9A67A9CD15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73B4-4D81-AE0D-9A67A9CD15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73B4-4D81-AE0D-9A67A9CD15F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73B4-4D81-AE0D-9A67A9CD15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Sales_By_Region_Product!$A$3:$A$8</c:f>
              <c:strCache>
                <c:ptCount val="5"/>
                <c:pt idx="0">
                  <c:v>Books</c:v>
                </c:pt>
                <c:pt idx="1">
                  <c:v>Clothing</c:v>
                </c:pt>
                <c:pt idx="2">
                  <c:v>Electronics</c:v>
                </c:pt>
                <c:pt idx="3">
                  <c:v>Furniture</c:v>
                </c:pt>
                <c:pt idx="4">
                  <c:v>Office Supplies</c:v>
                </c:pt>
              </c:strCache>
            </c:strRef>
          </c:cat>
          <c:val>
            <c:numRef>
              <c:f>Sales_By_Region_Product!$B$3:$B$8</c:f>
              <c:numCache>
                <c:formatCode>_-[$$-409]* #,##0.00_ ;_-[$$-409]* \-#,##0.00\ ;_-[$$-409]* "-"??_ ;_-@_ </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A-73B4-4D81-AE0D-9A67A9CD15F3}"/>
            </c:ext>
          </c:extLst>
        </c:ser>
        <c:ser>
          <c:idx val="1"/>
          <c:order val="1"/>
          <c:tx>
            <c:strRef>
              <c:f>Sales_By_Region_Product!$C$1:$C$2</c:f>
              <c:strCache>
                <c:ptCount val="1"/>
                <c:pt idx="0">
                  <c:v>East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C-73B4-4D81-AE0D-9A67A9CD15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E-73B4-4D81-AE0D-9A67A9CD15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10-73B4-4D81-AE0D-9A67A9CD15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12-73B4-4D81-AE0D-9A67A9CD15F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14-73B4-4D81-AE0D-9A67A9CD15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Sales_By_Region_Product!$A$3:$A$8</c:f>
              <c:strCache>
                <c:ptCount val="5"/>
                <c:pt idx="0">
                  <c:v>Books</c:v>
                </c:pt>
                <c:pt idx="1">
                  <c:v>Clothing</c:v>
                </c:pt>
                <c:pt idx="2">
                  <c:v>Electronics</c:v>
                </c:pt>
                <c:pt idx="3">
                  <c:v>Furniture</c:v>
                </c:pt>
                <c:pt idx="4">
                  <c:v>Office Supplies</c:v>
                </c:pt>
              </c:strCache>
            </c:strRef>
          </c:cat>
          <c:val>
            <c:numRef>
              <c:f>Sales_By_Region_Product!$C$3:$C$8</c:f>
              <c:numCache>
                <c:formatCode>_-[$$-409]* #,##0.00_ ;_-[$$-409]* \-#,##0.00\ ;_-[$$-409]* "-"??_ ;_-@_ </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15-73B4-4D81-AE0D-9A67A9CD15F3}"/>
            </c:ext>
          </c:extLst>
        </c:ser>
        <c:ser>
          <c:idx val="2"/>
          <c:order val="2"/>
          <c:tx>
            <c:strRef>
              <c:f>Sales_By_Region_Product!$D$1:$D$2</c:f>
              <c:strCache>
                <c:ptCount val="1"/>
                <c:pt idx="0">
                  <c:v>North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17-73B4-4D81-AE0D-9A67A9CD15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19-73B4-4D81-AE0D-9A67A9CD15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1B-73B4-4D81-AE0D-9A67A9CD15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1D-73B4-4D81-AE0D-9A67A9CD15F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1F-73B4-4D81-AE0D-9A67A9CD15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Sales_By_Region_Product!$A$3:$A$8</c:f>
              <c:strCache>
                <c:ptCount val="5"/>
                <c:pt idx="0">
                  <c:v>Books</c:v>
                </c:pt>
                <c:pt idx="1">
                  <c:v>Clothing</c:v>
                </c:pt>
                <c:pt idx="2">
                  <c:v>Electronics</c:v>
                </c:pt>
                <c:pt idx="3">
                  <c:v>Furniture</c:v>
                </c:pt>
                <c:pt idx="4">
                  <c:v>Office Supplies</c:v>
                </c:pt>
              </c:strCache>
            </c:strRef>
          </c:cat>
          <c:val>
            <c:numRef>
              <c:f>Sales_By_Region_Product!$D$3:$D$8</c:f>
              <c:numCache>
                <c:formatCode>_-[$$-409]* #,##0.00_ ;_-[$$-409]* \-#,##0.00\ ;_-[$$-409]* "-"??_ ;_-@_ </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20-73B4-4D81-AE0D-9A67A9CD15F3}"/>
            </c:ext>
          </c:extLst>
        </c:ser>
        <c:ser>
          <c:idx val="3"/>
          <c:order val="3"/>
          <c:tx>
            <c:strRef>
              <c:f>Sales_By_Region_Product!$E$1:$E$2</c:f>
              <c:strCache>
                <c:ptCount val="1"/>
                <c:pt idx="0">
                  <c:v>South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22-73B4-4D81-AE0D-9A67A9CD15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24-73B4-4D81-AE0D-9A67A9CD15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26-73B4-4D81-AE0D-9A67A9CD15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28-73B4-4D81-AE0D-9A67A9CD15F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2A-73B4-4D81-AE0D-9A67A9CD15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Sales_By_Region_Product!$A$3:$A$8</c:f>
              <c:strCache>
                <c:ptCount val="5"/>
                <c:pt idx="0">
                  <c:v>Books</c:v>
                </c:pt>
                <c:pt idx="1">
                  <c:v>Clothing</c:v>
                </c:pt>
                <c:pt idx="2">
                  <c:v>Electronics</c:v>
                </c:pt>
                <c:pt idx="3">
                  <c:v>Furniture</c:v>
                </c:pt>
                <c:pt idx="4">
                  <c:v>Office Supplies</c:v>
                </c:pt>
              </c:strCache>
            </c:strRef>
          </c:cat>
          <c:val>
            <c:numRef>
              <c:f>Sales_By_Region_Product!$E$3:$E$8</c:f>
              <c:numCache>
                <c:formatCode>_-[$$-409]* #,##0.00_ ;_-[$$-409]* \-#,##0.00\ ;_-[$$-409]* "-"??_ ;_-@_ </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2B-73B4-4D81-AE0D-9A67A9CD15F3}"/>
            </c:ext>
          </c:extLst>
        </c:ser>
        <c:ser>
          <c:idx val="4"/>
          <c:order val="4"/>
          <c:tx>
            <c:strRef>
              <c:f>Sales_By_Region_Product!$F$1:$F$2</c:f>
              <c:strCache>
                <c:ptCount val="1"/>
                <c:pt idx="0">
                  <c:v>West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2D-73B4-4D81-AE0D-9A67A9CD15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2F-73B4-4D81-AE0D-9A67A9CD15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31-73B4-4D81-AE0D-9A67A9CD15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33-73B4-4D81-AE0D-9A67A9CD15F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35-73B4-4D81-AE0D-9A67A9CD15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Sales_By_Region_Product!$A$3:$A$8</c:f>
              <c:strCache>
                <c:ptCount val="5"/>
                <c:pt idx="0">
                  <c:v>Books</c:v>
                </c:pt>
                <c:pt idx="1">
                  <c:v>Clothing</c:v>
                </c:pt>
                <c:pt idx="2">
                  <c:v>Electronics</c:v>
                </c:pt>
                <c:pt idx="3">
                  <c:v>Furniture</c:v>
                </c:pt>
                <c:pt idx="4">
                  <c:v>Office Supplies</c:v>
                </c:pt>
              </c:strCache>
            </c:strRef>
          </c:cat>
          <c:val>
            <c:numRef>
              <c:f>Sales_By_Region_Product!$F$3:$F$8</c:f>
              <c:numCache>
                <c:formatCode>_-[$$-409]* #,##0.00_ ;_-[$$-409]* \-#,##0.00\ ;_-[$$-409]* "-"??_ ;_-@_ </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36-73B4-4D81-AE0D-9A67A9CD15F3}"/>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[Project2.xlsx]High Value Customer!High_priority_customers</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'High Value Customer'!$B$1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'High Value Customer'!$A$2:$A$28</c:f>
              <c:strCache>
                <c:ptCount val="27"/>
                <c:pt idx="0">
                  <c:v>James Wilson</c:v>
                </c:pt>
                <c:pt idx="1">
                  <c:v>Mary Davis</c:v>
                </c:pt>
                <c:pt idx="2">
                  <c:v>David Brown</c:v>
                </c:pt>
                <c:pt idx="3">
                  <c:v>Emma Davis</c:v>
                </c:pt>
                <c:pt idx="4">
                  <c:v>Linda Wilson</c:v>
                </c:pt>
                <c:pt idx="5">
                  <c:v>Lisa Thomas</c:v>
                </c:pt>
                <c:pt idx="6">
                  <c:v>Emma Wilson</c:v>
                </c:pt>
                <c:pt idx="7">
                  <c:v>Robert Anderson</c:v>
                </c:pt>
                <c:pt idx="8">
                  <c:v>Lisa Davis</c:v>
                </c:pt>
                <c:pt idx="9">
                  <c:v>Michael Anderson</c:v>
                </c:pt>
                <c:pt idx="10">
                  <c:v>Linda Taylor</c:v>
                </c:pt>
                <c:pt idx="11">
                  <c:v>Sarah Anderson</c:v>
                </c:pt>
                <c:pt idx="12">
                  <c:v>Mary Jackson</c:v>
                </c:pt>
                <c:pt idx="13">
                  <c:v>David Thomas</c:v>
                </c:pt>
                <c:pt idx="14">
                  <c:v>James Davis</c:v>
                </c:pt>
                <c:pt idx="15">
                  <c:v>Linda Brown</c:v>
                </c:pt>
                <c:pt idx="16">
                  <c:v>Sarah Davis</c:v>
                </c:pt>
                <c:pt idx="17">
                  <c:v>James Taylor</c:v>
                </c:pt>
                <c:pt idx="18">
                  <c:v>David Anderson</c:v>
                </c:pt>
                <c:pt idx="19">
                  <c:v>Mary Wilson</c:v>
                </c:pt>
                <c:pt idx="20">
                  <c:v>Emma Taylor</c:v>
                </c:pt>
                <c:pt idx="21">
                  <c:v>Linda Jackson</c:v>
                </c:pt>
                <c:pt idx="22">
                  <c:v>David Davis</c:v>
                </c:pt>
                <c:pt idx="23">
                  <c:v>Linda Moore</c:v>
                </c:pt>
                <c:pt idx="24">
                  <c:v>David Smith</c:v>
                </c:pt>
                <c:pt idx="25">
                  <c:v>John Brown</c:v>
                </c:pt>
                <c:pt idx="26">
                  <c:v>Linda Davis</c:v>
                </c:pt>
              </c:strCache>
            </c:strRef>
          </c:cat>
          <c:val>
            <c:numRef>
              <c:f>'High Value Customer'!$B$2:$B$28</c:f>
              <c:numCache>
                <c:formatCode>_-[$$-409]* #,##0.00_ ;_-[$$-409]* \-#,##0.00\ ;_-[$$-409]* "-"??_ ;_-@_ </c:formatCode>
                <c:ptCount val="27"/>
                <c:pt idx="0">
                  <c:v>20774.739999999998</c:v>
                </c:pt>
                <c:pt idx="1">
                  <c:v>17143.289999999997</c:v>
                </c:pt>
                <c:pt idx="2">
                  <c:v>11915.829999999998</c:v>
                </c:pt>
                <c:pt idx="3">
                  <c:v>11398.32</c:v>
                </c:pt>
                <c:pt idx="4">
                  <c:v>9970.1999999999989</c:v>
                </c:pt>
                <c:pt idx="5">
                  <c:v>8635.9500000000007</c:v>
                </c:pt>
                <c:pt idx="6">
                  <c:v>8543.9699999999993</c:v>
                </c:pt>
                <c:pt idx="7">
                  <c:v>8331.8499999999985</c:v>
                </c:pt>
                <c:pt idx="8">
                  <c:v>8090.12</c:v>
                </c:pt>
                <c:pt idx="9">
                  <c:v>7881.9</c:v>
                </c:pt>
                <c:pt idx="10">
                  <c:v>7522.77</c:v>
                </c:pt>
                <c:pt idx="11">
                  <c:v>7296.1900000000005</c:v>
                </c:pt>
                <c:pt idx="12">
                  <c:v>7251.18</c:v>
                </c:pt>
                <c:pt idx="13">
                  <c:v>7020.3799999999992</c:v>
                </c:pt>
                <c:pt idx="14">
                  <c:v>6255.7</c:v>
                </c:pt>
                <c:pt idx="15">
                  <c:v>5801.29</c:v>
                </c:pt>
                <c:pt idx="16">
                  <c:v>5771.59</c:v>
                </c:pt>
                <c:pt idx="17">
                  <c:v>5615.2800000000007</c:v>
                </c:pt>
                <c:pt idx="18">
                  <c:v>5465.71</c:v>
                </c:pt>
                <c:pt idx="19">
                  <c:v>5443.34</c:v>
                </c:pt>
                <c:pt idx="20">
                  <c:v>5014.96</c:v>
                </c:pt>
                <c:pt idx="21">
                  <c:v>3968.59</c:v>
                </c:pt>
                <c:pt idx="22">
                  <c:v>3819.1400000000003</c:v>
                </c:pt>
                <c:pt idx="23">
                  <c:v>2304.9</c:v>
                </c:pt>
                <c:pt idx="24">
                  <c:v>1672.88</c:v>
                </c:pt>
                <c:pt idx="25">
                  <c:v>1450.99</c:v>
                </c:pt>
                <c:pt idx="26">
                  <c:v>856.7</c:v>
                </c:pt>
              </c:numCache>
            </c:numRef>
          </c:val>
          <c:smooth val="0"/>
          <c:extLst>
            <c:ext xmlns:c16="http://schemas.microsoft.com/office/drawing/2014/chart" uri="{C3380CC4-5D6E-409C-BE32-E72D297353CC}">
              <c16:uniqueId val="{00000000-1992-41CD-8A60-3600A57592AD}"/>
            </c:ext>
          </c:extLst>
        </c:ser>
        <c:dLbls>
          <c:showLegendKey val="0"/>
          <c:showVal val="0"/>
          <c:showCatName val="0"/>
          <c:showSerName val="0"/>
          <c:showPercent val="0"/>
          <c:showBubbleSize val="0"/>
        </c:dLbls>
        <c:marker val="1"/>
        <c:smooth val="0"/>
        <c:axId val="1626325119"/>
        <c:axId val="1417974255"/>
      </c:lineChart>
      <c:catAx>
        <c:axId val="16263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974255"/>
        <c:crosses val="autoZero"/>
        <c:auto val="1"/>
        <c:lblAlgn val="ctr"/>
        <c:lblOffset val="100"/>
        <c:noMultiLvlLbl val="0"/>
      </c:catAx>
      <c:valAx>
        <c:axId val="141797425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3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0NoLn">
    <dgm:fillClrLst meth="repeat">
      <a:schemeClr val="accent3"/>
    </dgm:fillClrLst>
    <dgm:linClrLst meth="repeat">
      <a:schemeClr val="lt1">
        <a:alpha val="0"/>
      </a:schemeClr>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node1NoLn">
    <dgm:fillClrLst>
      <a:schemeClr val="accent4"/>
      <a:schemeClr val="accent5"/>
    </dgm:fillClrLst>
    <dgm:linClrLst meth="repeat">
      <a:schemeClr val="lt1">
        <a:alpha val="0"/>
      </a:schemeClr>
    </dgm:linClrLst>
    <dgm:effectClrLst/>
    <dgm:txLinClrLst/>
    <dgm:txFillClrLst/>
    <dgm:txEffectClrLst/>
  </dgm:styleLbl>
  <dgm:styleLbl name="ltNode1NoLn">
    <dgm:fillClrLst>
      <a:schemeClr val="accent4">
        <a:tint val="75000"/>
      </a:schemeClr>
      <a:schemeClr val="accent5">
        <a:tint val="75000"/>
      </a:schemeClr>
    </dgm:fillClrLst>
    <dgm:linClrLst meth="repeat">
      <a:schemeClr val="lt1">
        <a:alpha val="0"/>
      </a:schemeClr>
    </dgm:linClrLst>
    <dgm:effectClrLst/>
    <dgm:txLinClrLst/>
    <dgm:txFillClrLst meth="repeat">
      <a:schemeClr val="dk1"/>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2NoLn">
    <dgm:fillClrLst>
      <a:schemeClr val="accent5"/>
    </dgm:fillClrLst>
    <dgm:linClrLst meth="repeat">
      <a:schemeClr val="lt1">
        <a:alpha val="0"/>
      </a:schemeClr>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3NoLn">
    <dgm:fillClrLst>
      <a:schemeClr val="accent6"/>
    </dgm:fillClrLst>
    <dgm:linClrLst meth="repeat">
      <a:schemeClr val="lt1">
        <a:alpha val="0"/>
      </a:schemeClr>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node4NoLn">
    <dgm:fillClrLst>
      <a:schemeClr val="accent1"/>
    </dgm:fillClrLst>
    <dgm:linClrLst meth="repeat">
      <a:schemeClr val="lt1">
        <a:alpha val="0"/>
      </a:schemeClr>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revTxLt">
    <dgm:fillClrLst meth="repeat">
      <a:schemeClr val="lt1">
        <a:alpha val="0"/>
      </a:schemeClr>
    </dgm:fillClrLst>
    <dgm:linClrLst meth="repeat">
      <a:schemeClr val="dk1">
        <a:alpha val="0"/>
      </a:schemeClr>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643AF91C-AE8C-4A3A-BD73-03748E4E92EF}" type="doc">
      <dgm:prSet loTypeId="urn:microsoft.com/office/officeart/2024/layout/HorizontalActionList" loCatId="textcard" qsTypeId="urn:microsoft.com/office/officeart/2005/8/quickstyle/simple1" qsCatId="simple" csTypeId="urn:microsoft.com/office/officeart/2005/8/colors/colorful4" csCatId="colorful" phldr="1"/>
      <dgm:spPr/>
      <dgm:t>
        <a:bodyPr/>
        <a:lstStyle/>
        <a:p>
          <a:endParaRPr lang="en-IN"/>
        </a:p>
      </dgm:t>
    </dgm:pt>
    <dgm:pt modelId="{F8B53563-3FB3-4338-8388-4C23DB36AA42}">
      <dgm:prSet phldrT="[Text]" custT="1"/>
      <dgm:spPr/>
      <dgm:t>
        <a:bodyPr/>
        <a:lstStyle/>
        <a:p>
          <a:r>
            <a:rPr lang="en-IN" sz="1400" b="1">
              <a:solidFill>
                <a:schemeClr val="tx1">
                  <a:lumMod val="85000"/>
                  <a:lumOff val="15000"/>
                </a:schemeClr>
              </a:solidFill>
            </a:rPr>
            <a:t>Most Sold Category</a:t>
          </a:r>
        </a:p>
      </dgm:t>
    </dgm:pt>
    <dgm:pt modelId="{6AF2CB20-A1D6-4046-B73B-B8805587C523}" type="parTrans" cxnId="{5C175033-F5C5-470D-83B9-AFF8B376B3A2}">
      <dgm:prSet/>
      <dgm:spPr/>
      <dgm:t>
        <a:bodyPr/>
        <a:lstStyle/>
        <a:p>
          <a:endParaRPr lang="en-IN"/>
        </a:p>
      </dgm:t>
    </dgm:pt>
    <dgm:pt modelId="{11B0410D-7B44-4DC6-9BC8-90F4168881EC}" type="sibTrans" cxnId="{5C175033-F5C5-470D-83B9-AFF8B376B3A2}">
      <dgm:prSet/>
      <dgm:spPr/>
      <dgm:t>
        <a:bodyPr/>
        <a:lstStyle/>
        <a:p>
          <a:endParaRPr lang="en-IN"/>
        </a:p>
      </dgm:t>
    </dgm:pt>
    <dgm:pt modelId="{EE49D3A7-F0CB-4498-A582-C26F29638FC2}">
      <dgm:prSet phldrT="[Text]" custT="1"/>
      <dgm:spPr/>
      <dgm:t>
        <a:bodyPr anchor="ctr"/>
        <a:lstStyle/>
        <a:p>
          <a:pPr algn="ctr"/>
          <a:r>
            <a:rPr lang="en-IN" sz="1400"/>
            <a:t>Books</a:t>
          </a:r>
        </a:p>
      </dgm:t>
    </dgm:pt>
    <dgm:pt modelId="{C0D43D47-EF26-4C1B-A1C6-01B21DECB507}" type="parTrans" cxnId="{88579F70-04F1-4D86-9BE7-2EFD6C4467AA}">
      <dgm:prSet/>
      <dgm:spPr/>
      <dgm:t>
        <a:bodyPr/>
        <a:lstStyle/>
        <a:p>
          <a:endParaRPr lang="en-IN"/>
        </a:p>
      </dgm:t>
    </dgm:pt>
    <dgm:pt modelId="{4EC3A1D6-7095-4F03-9809-152457990554}" type="sibTrans" cxnId="{88579F70-04F1-4D86-9BE7-2EFD6C4467AA}">
      <dgm:prSet/>
      <dgm:spPr/>
      <dgm:t>
        <a:bodyPr/>
        <a:lstStyle/>
        <a:p>
          <a:endParaRPr lang="en-IN"/>
        </a:p>
      </dgm:t>
    </dgm:pt>
    <dgm:pt modelId="{BFF79478-B1CA-430B-83CB-C4948A3F4C5E}">
      <dgm:prSet phldrT="[Text]" custT="1"/>
      <dgm:spPr/>
      <dgm:t>
        <a:bodyPr/>
        <a:lstStyle/>
        <a:p>
          <a:pPr algn="ctr"/>
          <a:r>
            <a:rPr lang="en-IN" sz="1800">
              <a:solidFill>
                <a:schemeClr val="tx1">
                  <a:lumMod val="85000"/>
                  <a:lumOff val="15000"/>
                </a:schemeClr>
              </a:solidFill>
            </a:rPr>
            <a:t>Average Sales </a:t>
          </a:r>
        </a:p>
      </dgm:t>
    </dgm:pt>
    <dgm:pt modelId="{76D4FC35-F567-4D33-9824-84C4BF68E92E}" type="parTrans" cxnId="{79E86153-3A9B-47DB-ABB6-7983801FA8AA}">
      <dgm:prSet/>
      <dgm:spPr/>
      <dgm:t>
        <a:bodyPr/>
        <a:lstStyle/>
        <a:p>
          <a:endParaRPr lang="en-IN"/>
        </a:p>
      </dgm:t>
    </dgm:pt>
    <dgm:pt modelId="{31507DF8-352D-42F4-A02A-DEEBA7922230}" type="sibTrans" cxnId="{79E86153-3A9B-47DB-ABB6-7983801FA8AA}">
      <dgm:prSet/>
      <dgm:spPr/>
      <dgm:t>
        <a:bodyPr/>
        <a:lstStyle/>
        <a:p>
          <a:endParaRPr lang="en-IN"/>
        </a:p>
      </dgm:t>
    </dgm:pt>
    <dgm:pt modelId="{C301E60D-D2DD-4C91-B15C-2AAF0842E299}">
      <dgm:prSet phldrT="[Text]" custT="1"/>
      <dgm:spPr/>
      <dgm:t>
        <a:bodyPr anchor="ctr"/>
        <a:lstStyle/>
        <a:p>
          <a:pPr algn="ctr">
            <a:buNone/>
          </a:pPr>
          <a:r>
            <a:rPr lang="en-IN" sz="1600" b="0" i="0" u="none"/>
            <a:t>976.0888</a:t>
          </a:r>
          <a:r>
            <a:rPr lang="en-IN" sz="1600"/>
            <a:t> </a:t>
          </a:r>
        </a:p>
      </dgm:t>
    </dgm:pt>
    <dgm:pt modelId="{A7996CEE-599C-404A-9F85-3E5942764552}" type="parTrans" cxnId="{F20CCF73-DB4E-49BB-8A9D-FB43D93EE78E}">
      <dgm:prSet/>
      <dgm:spPr/>
      <dgm:t>
        <a:bodyPr/>
        <a:lstStyle/>
        <a:p>
          <a:endParaRPr lang="en-IN"/>
        </a:p>
      </dgm:t>
    </dgm:pt>
    <dgm:pt modelId="{2FFE3DAC-5E43-4D40-9380-A5AD5FCFE020}" type="sibTrans" cxnId="{F20CCF73-DB4E-49BB-8A9D-FB43D93EE78E}">
      <dgm:prSet/>
      <dgm:spPr/>
      <dgm:t>
        <a:bodyPr/>
        <a:lstStyle/>
        <a:p>
          <a:endParaRPr lang="en-IN"/>
        </a:p>
      </dgm:t>
    </dgm:pt>
    <dgm:pt modelId="{E778B45A-FC83-4CDB-853D-06F3085B11B1}">
      <dgm:prSet phldrT="[Text]" custT="1"/>
      <dgm:spPr/>
      <dgm:t>
        <a:bodyPr/>
        <a:lstStyle/>
        <a:p>
          <a:r>
            <a:rPr lang="en-IN" sz="1600" b="1">
              <a:solidFill>
                <a:schemeClr val="tx1">
                  <a:lumMod val="85000"/>
                  <a:lumOff val="15000"/>
                </a:schemeClr>
              </a:solidFill>
            </a:rPr>
            <a:t>Average Discount</a:t>
          </a:r>
        </a:p>
      </dgm:t>
    </dgm:pt>
    <dgm:pt modelId="{F04928A2-99C8-40EB-9B7F-B32E0C1AFF47}" type="parTrans" cxnId="{E5FDD338-C2C1-44A0-BAC5-31BF6AF805C7}">
      <dgm:prSet/>
      <dgm:spPr/>
      <dgm:t>
        <a:bodyPr/>
        <a:lstStyle/>
        <a:p>
          <a:endParaRPr lang="en-IN"/>
        </a:p>
      </dgm:t>
    </dgm:pt>
    <dgm:pt modelId="{40CFF494-200B-48E4-8C12-7F3790D119BB}" type="sibTrans" cxnId="{E5FDD338-C2C1-44A0-BAC5-31BF6AF805C7}">
      <dgm:prSet/>
      <dgm:spPr/>
      <dgm:t>
        <a:bodyPr/>
        <a:lstStyle/>
        <a:p>
          <a:endParaRPr lang="en-IN"/>
        </a:p>
      </dgm:t>
    </dgm:pt>
    <dgm:pt modelId="{7EDCDB8C-F97E-477E-B806-9EF2C0D909F6}">
      <dgm:prSet phldrT="[Text]" custT="1"/>
      <dgm:spPr/>
      <dgm:t>
        <a:bodyPr anchor="ctr"/>
        <a:lstStyle/>
        <a:p>
          <a:pPr algn="ctr">
            <a:buNone/>
          </a:pPr>
          <a:r>
            <a:rPr lang="en-IN" sz="1600" b="0" i="0" u="none"/>
            <a:t>9.73%</a:t>
          </a:r>
          <a:r>
            <a:rPr lang="en-IN" sz="1600"/>
            <a:t> </a:t>
          </a:r>
        </a:p>
      </dgm:t>
    </dgm:pt>
    <dgm:pt modelId="{6C432DD5-0F42-42F7-915C-EE650463B370}" type="parTrans" cxnId="{8CBE0EC1-031D-44E1-A25D-2DF2D9D5FF0E}">
      <dgm:prSet/>
      <dgm:spPr/>
      <dgm:t>
        <a:bodyPr/>
        <a:lstStyle/>
        <a:p>
          <a:endParaRPr lang="en-IN"/>
        </a:p>
      </dgm:t>
    </dgm:pt>
    <dgm:pt modelId="{45B722D0-F676-49FF-94CF-9C1186653A24}" type="sibTrans" cxnId="{8CBE0EC1-031D-44E1-A25D-2DF2D9D5FF0E}">
      <dgm:prSet/>
      <dgm:spPr/>
      <dgm:t>
        <a:bodyPr/>
        <a:lstStyle/>
        <a:p>
          <a:endParaRPr lang="en-IN"/>
        </a:p>
      </dgm:t>
    </dgm:pt>
    <dgm:pt modelId="{619AB788-DDE4-4D60-A26C-B532C3DBAECC}" type="pres">
      <dgm:prSet presAssocID="{643AF91C-AE8C-4A3A-BD73-03748E4E92EF}" presName="Name0" presStyleCnt="0">
        <dgm:presLayoutVars>
          <dgm:dir/>
          <dgm:animLvl val="lvl"/>
          <dgm:resizeHandles val="exact"/>
        </dgm:presLayoutVars>
      </dgm:prSet>
      <dgm:spPr/>
    </dgm:pt>
    <dgm:pt modelId="{2BC977DE-BDFB-4225-B835-8141E60B4E2B}" type="pres">
      <dgm:prSet presAssocID="{F8B53563-3FB3-4338-8388-4C23DB36AA42}" presName="composite" presStyleCnt="0"/>
      <dgm:spPr/>
    </dgm:pt>
    <dgm:pt modelId="{4F1B2B55-72D7-4912-97E4-1700856BA3FE}" type="pres">
      <dgm:prSet presAssocID="{F8B53563-3FB3-4338-8388-4C23DB36AA42}" presName="parTx" presStyleLbl="alignNode1" presStyleIdx="0" presStyleCnt="3" custFlipVert="0" custScaleX="102446" custScaleY="100000">
        <dgm:presLayoutVars>
          <dgm:chMax val="0"/>
          <dgm:chPref val="0"/>
        </dgm:presLayoutVars>
      </dgm:prSet>
      <dgm:spPr/>
    </dgm:pt>
    <dgm:pt modelId="{A04AE2D4-8CC6-45D4-8798-0BF614B4573D}" type="pres">
      <dgm:prSet presAssocID="{F8B53563-3FB3-4338-8388-4C23DB36AA42}" presName="bgOutline" presStyleLbl="fgAcc1" presStyleIdx="0" presStyleCnt="3">
        <dgm:presLayoutVars>
          <dgm:bulletEnabled/>
        </dgm:presLayoutVars>
      </dgm:prSet>
      <dgm:spPr/>
    </dgm:pt>
    <dgm:pt modelId="{7E38AC6F-792F-4C11-B324-A7072918CF8E}" type="pres">
      <dgm:prSet presAssocID="{11B0410D-7B44-4DC6-9BC8-90F4168881EC}" presName="space" presStyleCnt="0"/>
      <dgm:spPr/>
    </dgm:pt>
    <dgm:pt modelId="{733F6DB5-5584-4418-B85A-E19F584864E9}" type="pres">
      <dgm:prSet presAssocID="{BFF79478-B1CA-430B-83CB-C4948A3F4C5E}" presName="composite" presStyleCnt="0"/>
      <dgm:spPr/>
    </dgm:pt>
    <dgm:pt modelId="{CE61CE46-D299-4895-BB6C-BB140AA60715}" type="pres">
      <dgm:prSet presAssocID="{BFF79478-B1CA-430B-83CB-C4948A3F4C5E}" presName="parTx" presStyleLbl="alignNode1" presStyleIdx="1" presStyleCnt="3">
        <dgm:presLayoutVars>
          <dgm:chMax val="0"/>
          <dgm:chPref val="0"/>
        </dgm:presLayoutVars>
      </dgm:prSet>
      <dgm:spPr/>
    </dgm:pt>
    <dgm:pt modelId="{D4E4B458-9AEC-48AE-848D-C4725EA79E2B}" type="pres">
      <dgm:prSet presAssocID="{BFF79478-B1CA-430B-83CB-C4948A3F4C5E}" presName="bgOutline" presStyleLbl="fgAcc1" presStyleIdx="1" presStyleCnt="3" custAng="0" custLinFactNeighborX="-474" custLinFactNeighborY="-5400">
        <dgm:presLayoutVars>
          <dgm:bulletEnabled/>
        </dgm:presLayoutVars>
      </dgm:prSet>
      <dgm:spPr/>
    </dgm:pt>
    <dgm:pt modelId="{6CABA25F-7F95-44C0-972C-E2261E2DD9B7}" type="pres">
      <dgm:prSet presAssocID="{31507DF8-352D-42F4-A02A-DEEBA7922230}" presName="space" presStyleCnt="0"/>
      <dgm:spPr/>
    </dgm:pt>
    <dgm:pt modelId="{BF238BC3-745A-4665-9BA3-B1647D9F14B1}" type="pres">
      <dgm:prSet presAssocID="{E778B45A-FC83-4CDB-853D-06F3085B11B1}" presName="composite" presStyleCnt="0"/>
      <dgm:spPr/>
    </dgm:pt>
    <dgm:pt modelId="{F182A279-8486-4CA0-B427-BA8D0FDAC950}" type="pres">
      <dgm:prSet presAssocID="{E778B45A-FC83-4CDB-853D-06F3085B11B1}" presName="parTx" presStyleLbl="alignNode1" presStyleIdx="2" presStyleCnt="3">
        <dgm:presLayoutVars>
          <dgm:chMax val="0"/>
          <dgm:chPref val="0"/>
        </dgm:presLayoutVars>
      </dgm:prSet>
      <dgm:spPr/>
    </dgm:pt>
    <dgm:pt modelId="{803A193B-74A3-4FA9-9296-1E540BED88D3}" type="pres">
      <dgm:prSet presAssocID="{E778B45A-FC83-4CDB-853D-06F3085B11B1}" presName="bgOutline" presStyleLbl="fgAcc1" presStyleIdx="2" presStyleCnt="3">
        <dgm:presLayoutVars>
          <dgm:bulletEnabled/>
        </dgm:presLayoutVars>
      </dgm:prSet>
      <dgm:spPr/>
    </dgm:pt>
  </dgm:ptLst>
  <dgm:cxnLst>
    <dgm:cxn modelId="{19E47A0C-C176-4554-A055-92D22F2F92E7}" type="presOf" srcId="{EE49D3A7-F0CB-4498-A582-C26F29638FC2}" destId="{A04AE2D4-8CC6-45D4-8798-0BF614B4573D}" srcOrd="0" destOrd="0" presId="urn:microsoft.com/office/officeart/2024/layout/HorizontalActionList"/>
    <dgm:cxn modelId="{5C175033-F5C5-470D-83B9-AFF8B376B3A2}" srcId="{643AF91C-AE8C-4A3A-BD73-03748E4E92EF}" destId="{F8B53563-3FB3-4338-8388-4C23DB36AA42}" srcOrd="0" destOrd="0" parTransId="{6AF2CB20-A1D6-4046-B73B-B8805587C523}" sibTransId="{11B0410D-7B44-4DC6-9BC8-90F4168881EC}"/>
    <dgm:cxn modelId="{638B3C38-64E4-42C6-8CBE-80E0E97A6E47}" type="presOf" srcId="{643AF91C-AE8C-4A3A-BD73-03748E4E92EF}" destId="{619AB788-DDE4-4D60-A26C-B532C3DBAECC}" srcOrd="0" destOrd="0" presId="urn:microsoft.com/office/officeart/2024/layout/HorizontalActionList"/>
    <dgm:cxn modelId="{E5FDD338-C2C1-44A0-BAC5-31BF6AF805C7}" srcId="{643AF91C-AE8C-4A3A-BD73-03748E4E92EF}" destId="{E778B45A-FC83-4CDB-853D-06F3085B11B1}" srcOrd="2" destOrd="0" parTransId="{F04928A2-99C8-40EB-9B7F-B32E0C1AFF47}" sibTransId="{40CFF494-200B-48E4-8C12-7F3790D119BB}"/>
    <dgm:cxn modelId="{45B51564-39A3-448E-B56F-206680C93318}" type="presOf" srcId="{7EDCDB8C-F97E-477E-B806-9EF2C0D909F6}" destId="{803A193B-74A3-4FA9-9296-1E540BED88D3}" srcOrd="0" destOrd="0" presId="urn:microsoft.com/office/officeart/2024/layout/HorizontalActionList"/>
    <dgm:cxn modelId="{AE8E7C48-B157-45F3-9A13-668864D975BA}" type="presOf" srcId="{E778B45A-FC83-4CDB-853D-06F3085B11B1}" destId="{F182A279-8486-4CA0-B427-BA8D0FDAC950}" srcOrd="0" destOrd="0" presId="urn:microsoft.com/office/officeart/2024/layout/HorizontalActionList"/>
    <dgm:cxn modelId="{88579F70-04F1-4D86-9BE7-2EFD6C4467AA}" srcId="{F8B53563-3FB3-4338-8388-4C23DB36AA42}" destId="{EE49D3A7-F0CB-4498-A582-C26F29638FC2}" srcOrd="0" destOrd="0" parTransId="{C0D43D47-EF26-4C1B-A1C6-01B21DECB507}" sibTransId="{4EC3A1D6-7095-4F03-9809-152457990554}"/>
    <dgm:cxn modelId="{79E86153-3A9B-47DB-ABB6-7983801FA8AA}" srcId="{643AF91C-AE8C-4A3A-BD73-03748E4E92EF}" destId="{BFF79478-B1CA-430B-83CB-C4948A3F4C5E}" srcOrd="1" destOrd="0" parTransId="{76D4FC35-F567-4D33-9824-84C4BF68E92E}" sibTransId="{31507DF8-352D-42F4-A02A-DEEBA7922230}"/>
    <dgm:cxn modelId="{F20CCF73-DB4E-49BB-8A9D-FB43D93EE78E}" srcId="{BFF79478-B1CA-430B-83CB-C4948A3F4C5E}" destId="{C301E60D-D2DD-4C91-B15C-2AAF0842E299}" srcOrd="0" destOrd="0" parTransId="{A7996CEE-599C-404A-9F85-3E5942764552}" sibTransId="{2FFE3DAC-5E43-4D40-9380-A5AD5FCFE020}"/>
    <dgm:cxn modelId="{6F5426AB-A321-4EE7-AC34-EB7CDC20B0CD}" type="presOf" srcId="{C301E60D-D2DD-4C91-B15C-2AAF0842E299}" destId="{D4E4B458-9AEC-48AE-848D-C4725EA79E2B}" srcOrd="0" destOrd="0" presId="urn:microsoft.com/office/officeart/2024/layout/HorizontalActionList"/>
    <dgm:cxn modelId="{E3A40AB7-76E4-4252-AD65-0F59F44EA18C}" type="presOf" srcId="{F8B53563-3FB3-4338-8388-4C23DB36AA42}" destId="{4F1B2B55-72D7-4912-97E4-1700856BA3FE}" srcOrd="0" destOrd="0" presId="urn:microsoft.com/office/officeart/2024/layout/HorizontalActionList"/>
    <dgm:cxn modelId="{8CBE0EC1-031D-44E1-A25D-2DF2D9D5FF0E}" srcId="{E778B45A-FC83-4CDB-853D-06F3085B11B1}" destId="{7EDCDB8C-F97E-477E-B806-9EF2C0D909F6}" srcOrd="0" destOrd="0" parTransId="{6C432DD5-0F42-42F7-915C-EE650463B370}" sibTransId="{45B722D0-F676-49FF-94CF-9C1186653A24}"/>
    <dgm:cxn modelId="{164342C4-E622-48BD-8BC5-DBCF9235E25D}" type="presOf" srcId="{BFF79478-B1CA-430B-83CB-C4948A3F4C5E}" destId="{CE61CE46-D299-4895-BB6C-BB140AA60715}" srcOrd="0" destOrd="0" presId="urn:microsoft.com/office/officeart/2024/layout/HorizontalActionList"/>
    <dgm:cxn modelId="{69BB43B6-7272-4F63-8DBD-9541CC425794}" type="presParOf" srcId="{619AB788-DDE4-4D60-A26C-B532C3DBAECC}" destId="{2BC977DE-BDFB-4225-B835-8141E60B4E2B}" srcOrd="0" destOrd="0" presId="urn:microsoft.com/office/officeart/2024/layout/HorizontalActionList"/>
    <dgm:cxn modelId="{8BBCCE85-B5E1-417B-98B2-F34C2AD5E229}" type="presParOf" srcId="{2BC977DE-BDFB-4225-B835-8141E60B4E2B}" destId="{4F1B2B55-72D7-4912-97E4-1700856BA3FE}" srcOrd="0" destOrd="0" presId="urn:microsoft.com/office/officeart/2024/layout/HorizontalActionList"/>
    <dgm:cxn modelId="{EE970EA7-E7DA-4BD0-93FD-2672AD66BF86}" type="presParOf" srcId="{2BC977DE-BDFB-4225-B835-8141E60B4E2B}" destId="{A04AE2D4-8CC6-45D4-8798-0BF614B4573D}" srcOrd="1" destOrd="0" presId="urn:microsoft.com/office/officeart/2024/layout/HorizontalActionList"/>
    <dgm:cxn modelId="{E734003F-2836-4523-807B-D9CC6F1B4CB1}" type="presParOf" srcId="{619AB788-DDE4-4D60-A26C-B532C3DBAECC}" destId="{7E38AC6F-792F-4C11-B324-A7072918CF8E}" srcOrd="1" destOrd="0" presId="urn:microsoft.com/office/officeart/2024/layout/HorizontalActionList"/>
    <dgm:cxn modelId="{494681DD-C3D4-4E02-9EFF-5C6888F4BCEA}" type="presParOf" srcId="{619AB788-DDE4-4D60-A26C-B532C3DBAECC}" destId="{733F6DB5-5584-4418-B85A-E19F584864E9}" srcOrd="2" destOrd="0" presId="urn:microsoft.com/office/officeart/2024/layout/HorizontalActionList"/>
    <dgm:cxn modelId="{132C2751-B5EF-4675-9C62-AF424E19CB59}" type="presParOf" srcId="{733F6DB5-5584-4418-B85A-E19F584864E9}" destId="{CE61CE46-D299-4895-BB6C-BB140AA60715}" srcOrd="0" destOrd="0" presId="urn:microsoft.com/office/officeart/2024/layout/HorizontalActionList"/>
    <dgm:cxn modelId="{A2C01C18-6910-4EC4-8063-FCB006CE14C2}" type="presParOf" srcId="{733F6DB5-5584-4418-B85A-E19F584864E9}" destId="{D4E4B458-9AEC-48AE-848D-C4725EA79E2B}" srcOrd="1" destOrd="0" presId="urn:microsoft.com/office/officeart/2024/layout/HorizontalActionList"/>
    <dgm:cxn modelId="{FCE86BF3-79B3-4B86-8781-0CDE2138062B}" type="presParOf" srcId="{619AB788-DDE4-4D60-A26C-B532C3DBAECC}" destId="{6CABA25F-7F95-44C0-972C-E2261E2DD9B7}" srcOrd="3" destOrd="0" presId="urn:microsoft.com/office/officeart/2024/layout/HorizontalActionList"/>
    <dgm:cxn modelId="{C0B3A805-F0F3-4170-B571-AD09AC7DC885}" type="presParOf" srcId="{619AB788-DDE4-4D60-A26C-B532C3DBAECC}" destId="{BF238BC3-745A-4665-9BA3-B1647D9F14B1}" srcOrd="4" destOrd="0" presId="urn:microsoft.com/office/officeart/2024/layout/HorizontalActionList"/>
    <dgm:cxn modelId="{4764C2CE-5E9A-4876-8508-AB599794094C}" type="presParOf" srcId="{BF238BC3-745A-4665-9BA3-B1647D9F14B1}" destId="{F182A279-8486-4CA0-B427-BA8D0FDAC950}" srcOrd="0" destOrd="0" presId="urn:microsoft.com/office/officeart/2024/layout/HorizontalActionList"/>
    <dgm:cxn modelId="{6E87FECB-ABFC-484A-877D-984B60E4F28D}" type="presParOf" srcId="{BF238BC3-745A-4665-9BA3-B1647D9F14B1}" destId="{803A193B-74A3-4FA9-9296-1E540BED88D3}" srcOrd="1" destOrd="0" presId="urn:microsoft.com/office/officeart/2024/layout/HorizontalAction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04AE2D4-8CC6-45D4-8798-0BF614B4573D}">
      <dsp:nvSpPr>
        <dsp:cNvPr id="0" name=""/>
        <dsp:cNvSpPr/>
      </dsp:nvSpPr>
      <dsp:spPr>
        <a:xfrm rot="10800000">
          <a:off x="37098" y="785684"/>
          <a:ext cx="2411588" cy="311502"/>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4">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02091" tIns="102091" rIns="102091" bIns="102091" numCol="1" spcCol="1270" anchor="ctr" anchorCtr="0">
          <a:noAutofit/>
        </a:bodyPr>
        <a:lstStyle/>
        <a:p>
          <a:pPr marL="0" lvl="0" indent="0" algn="ctr" defTabSz="622300">
            <a:lnSpc>
              <a:spcPct val="90000"/>
            </a:lnSpc>
            <a:spcBef>
              <a:spcPct val="0"/>
            </a:spcBef>
            <a:spcAft>
              <a:spcPct val="35000"/>
            </a:spcAft>
            <a:buNone/>
          </a:pPr>
          <a:r>
            <a:rPr lang="en-IN" sz="1400" kern="1200"/>
            <a:t>Books</a:t>
          </a:r>
        </a:p>
      </dsp:txBody>
      <dsp:txXfrm rot="10800000">
        <a:off x="50783" y="785684"/>
        <a:ext cx="2384218" cy="297817"/>
      </dsp:txXfrm>
    </dsp:sp>
    <dsp:sp modelId="{4F1B2B55-72D7-4912-97E4-1700856BA3FE}">
      <dsp:nvSpPr>
        <dsp:cNvPr id="0" name=""/>
        <dsp:cNvSpPr/>
      </dsp:nvSpPr>
      <dsp:spPr>
        <a:xfrm>
          <a:off x="7604" y="83912"/>
          <a:ext cx="2470576" cy="723476"/>
        </a:xfrm>
        <a:prstGeom prst="round2SameRect">
          <a:avLst>
            <a:gd name="adj1" fmla="val 45000"/>
            <a:gd name="adj2" fmla="val 0"/>
          </a:avLst>
        </a:prstGeom>
        <a:solidFill>
          <a:schemeClr val="accent4">
            <a:hueOff val="0"/>
            <a:satOff val="0"/>
            <a:lumOff val="0"/>
            <a:alphaOff val="0"/>
          </a:schemeClr>
        </a:solidFill>
        <a:ln w="12700" cap="flat" cmpd="sng" algn="ctr">
          <a:solidFill>
            <a:schemeClr val="accent4">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90569" tIns="190569" rIns="190569" bIns="190569" numCol="1" spcCol="1270" anchor="ctr" anchorCtr="0">
          <a:noAutofit/>
        </a:bodyPr>
        <a:lstStyle/>
        <a:p>
          <a:pPr marL="0" lvl="0" indent="0" algn="l" defTabSz="622300">
            <a:lnSpc>
              <a:spcPct val="90000"/>
            </a:lnSpc>
            <a:spcBef>
              <a:spcPct val="0"/>
            </a:spcBef>
            <a:spcAft>
              <a:spcPct val="35000"/>
            </a:spcAft>
            <a:buNone/>
          </a:pPr>
          <a:r>
            <a:rPr lang="en-IN" sz="1400" b="1" kern="1200">
              <a:solidFill>
                <a:schemeClr val="tx1">
                  <a:lumMod val="85000"/>
                  <a:lumOff val="15000"/>
                </a:schemeClr>
              </a:solidFill>
            </a:rPr>
            <a:t>Most Sold Category</a:t>
          </a:r>
        </a:p>
      </dsp:txBody>
      <dsp:txXfrm>
        <a:off x="102958" y="179266"/>
        <a:ext cx="2279868" cy="628122"/>
      </dsp:txXfrm>
    </dsp:sp>
    <dsp:sp modelId="{D4E4B458-9AEC-48AE-848D-C4725EA79E2B}">
      <dsp:nvSpPr>
        <dsp:cNvPr id="0" name=""/>
        <dsp:cNvSpPr/>
      </dsp:nvSpPr>
      <dsp:spPr>
        <a:xfrm rot="10800000">
          <a:off x="2574643" y="768863"/>
          <a:ext cx="2411588" cy="311502"/>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4">
              <a:hueOff val="4900445"/>
              <a:satOff val="-20388"/>
              <a:lumOff val="4804"/>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02091" tIns="102091" rIns="102091" bIns="102091" numCol="1" spcCol="1270" anchor="ctr" anchorCtr="0">
          <a:noAutofit/>
        </a:bodyPr>
        <a:lstStyle/>
        <a:p>
          <a:pPr marL="0" lvl="0" indent="0" algn="ctr" defTabSz="711200">
            <a:lnSpc>
              <a:spcPct val="90000"/>
            </a:lnSpc>
            <a:spcBef>
              <a:spcPct val="0"/>
            </a:spcBef>
            <a:spcAft>
              <a:spcPct val="35000"/>
            </a:spcAft>
            <a:buNone/>
          </a:pPr>
          <a:r>
            <a:rPr lang="en-IN" sz="1600" b="0" i="0" u="none" kern="1200"/>
            <a:t>976.0888</a:t>
          </a:r>
          <a:r>
            <a:rPr lang="en-IN" sz="1600" kern="1200"/>
            <a:t> </a:t>
          </a:r>
        </a:p>
      </dsp:txBody>
      <dsp:txXfrm rot="10800000">
        <a:off x="2588328" y="768863"/>
        <a:ext cx="2384218" cy="297817"/>
      </dsp:txXfrm>
    </dsp:sp>
    <dsp:sp modelId="{CE61CE46-D299-4895-BB6C-BB140AA60715}">
      <dsp:nvSpPr>
        <dsp:cNvPr id="0" name=""/>
        <dsp:cNvSpPr/>
      </dsp:nvSpPr>
      <dsp:spPr>
        <a:xfrm>
          <a:off x="2586074" y="83912"/>
          <a:ext cx="2411588" cy="723476"/>
        </a:xfrm>
        <a:prstGeom prst="round2SameRect">
          <a:avLst>
            <a:gd name="adj1" fmla="val 45000"/>
            <a:gd name="adj2" fmla="val 0"/>
          </a:avLst>
        </a:prstGeom>
        <a:solidFill>
          <a:schemeClr val="accent4">
            <a:hueOff val="4900445"/>
            <a:satOff val="-20388"/>
            <a:lumOff val="4804"/>
            <a:alphaOff val="0"/>
          </a:schemeClr>
        </a:solidFill>
        <a:ln w="12700" cap="flat" cmpd="sng" algn="ctr">
          <a:solidFill>
            <a:schemeClr val="accent4">
              <a:hueOff val="4900445"/>
              <a:satOff val="-20388"/>
              <a:lumOff val="4804"/>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90569" tIns="190569" rIns="190569" bIns="190569" numCol="1" spcCol="1270" anchor="ctr" anchorCtr="0">
          <a:noAutofit/>
        </a:bodyPr>
        <a:lstStyle/>
        <a:p>
          <a:pPr marL="0" lvl="0" indent="0" algn="ctr" defTabSz="800100">
            <a:lnSpc>
              <a:spcPct val="90000"/>
            </a:lnSpc>
            <a:spcBef>
              <a:spcPct val="0"/>
            </a:spcBef>
            <a:spcAft>
              <a:spcPct val="35000"/>
            </a:spcAft>
            <a:buNone/>
          </a:pPr>
          <a:r>
            <a:rPr lang="en-IN" sz="1800" kern="1200">
              <a:solidFill>
                <a:schemeClr val="tx1">
                  <a:lumMod val="85000"/>
                  <a:lumOff val="15000"/>
                </a:schemeClr>
              </a:solidFill>
            </a:rPr>
            <a:t>Average Sales </a:t>
          </a:r>
        </a:p>
      </dsp:txBody>
      <dsp:txXfrm>
        <a:off x="2681428" y="179266"/>
        <a:ext cx="2220880" cy="628122"/>
      </dsp:txXfrm>
    </dsp:sp>
    <dsp:sp modelId="{803A193B-74A3-4FA9-9296-1E540BED88D3}">
      <dsp:nvSpPr>
        <dsp:cNvPr id="0" name=""/>
        <dsp:cNvSpPr/>
      </dsp:nvSpPr>
      <dsp:spPr>
        <a:xfrm rot="10800000">
          <a:off x="5105558" y="785684"/>
          <a:ext cx="2411588" cy="311502"/>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4">
              <a:hueOff val="9800891"/>
              <a:satOff val="-40777"/>
              <a:lumOff val="9608"/>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02091" tIns="102091" rIns="102091" bIns="102091" numCol="1" spcCol="1270" anchor="ctr" anchorCtr="0">
          <a:noAutofit/>
        </a:bodyPr>
        <a:lstStyle/>
        <a:p>
          <a:pPr marL="0" lvl="0" indent="0" algn="ctr" defTabSz="711200">
            <a:lnSpc>
              <a:spcPct val="90000"/>
            </a:lnSpc>
            <a:spcBef>
              <a:spcPct val="0"/>
            </a:spcBef>
            <a:spcAft>
              <a:spcPct val="35000"/>
            </a:spcAft>
            <a:buNone/>
          </a:pPr>
          <a:r>
            <a:rPr lang="en-IN" sz="1600" b="0" i="0" u="none" kern="1200"/>
            <a:t>9.73%</a:t>
          </a:r>
          <a:r>
            <a:rPr lang="en-IN" sz="1600" kern="1200"/>
            <a:t> </a:t>
          </a:r>
        </a:p>
      </dsp:txBody>
      <dsp:txXfrm rot="10800000">
        <a:off x="5119243" y="785684"/>
        <a:ext cx="2384218" cy="297817"/>
      </dsp:txXfrm>
    </dsp:sp>
    <dsp:sp modelId="{F182A279-8486-4CA0-B427-BA8D0FDAC950}">
      <dsp:nvSpPr>
        <dsp:cNvPr id="0" name=""/>
        <dsp:cNvSpPr/>
      </dsp:nvSpPr>
      <dsp:spPr>
        <a:xfrm>
          <a:off x="5105558" y="83912"/>
          <a:ext cx="2411588" cy="723476"/>
        </a:xfrm>
        <a:prstGeom prst="round2SameRect">
          <a:avLst>
            <a:gd name="adj1" fmla="val 45000"/>
            <a:gd name="adj2" fmla="val 0"/>
          </a:avLst>
        </a:prstGeom>
        <a:solidFill>
          <a:schemeClr val="accent4">
            <a:hueOff val="9800891"/>
            <a:satOff val="-40777"/>
            <a:lumOff val="9608"/>
            <a:alphaOff val="0"/>
          </a:schemeClr>
        </a:solidFill>
        <a:ln w="12700" cap="flat" cmpd="sng" algn="ctr">
          <a:solidFill>
            <a:schemeClr val="accent4">
              <a:hueOff val="9800891"/>
              <a:satOff val="-40777"/>
              <a:lumOff val="9608"/>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90569" tIns="190569" rIns="190569" bIns="190569" numCol="1" spcCol="1270" anchor="ctr" anchorCtr="0">
          <a:noAutofit/>
        </a:bodyPr>
        <a:lstStyle/>
        <a:p>
          <a:pPr marL="0" lvl="0" indent="0" algn="l" defTabSz="711200">
            <a:lnSpc>
              <a:spcPct val="90000"/>
            </a:lnSpc>
            <a:spcBef>
              <a:spcPct val="0"/>
            </a:spcBef>
            <a:spcAft>
              <a:spcPct val="35000"/>
            </a:spcAft>
            <a:buNone/>
          </a:pPr>
          <a:r>
            <a:rPr lang="en-IN" sz="1600" b="1" kern="1200">
              <a:solidFill>
                <a:schemeClr val="tx1">
                  <a:lumMod val="85000"/>
                  <a:lumOff val="15000"/>
                </a:schemeClr>
              </a:solidFill>
            </a:rPr>
            <a:t>Average Discount</a:t>
          </a:r>
        </a:p>
      </dsp:txBody>
      <dsp:txXfrm>
        <a:off x="5200912" y="179266"/>
        <a:ext cx="2220880" cy="628122"/>
      </dsp:txXfrm>
    </dsp:sp>
  </dsp:spTree>
</dsp:drawing>
</file>

<file path=xl/diagrams/layout1.xml><?xml version="1.0" encoding="utf-8"?>
<dgm:layoutDef xmlns:dgm="http://schemas.openxmlformats.org/drawingml/2006/diagram" xmlns:a="http://schemas.openxmlformats.org/drawingml/2006/main" uniqueId="urn:microsoft.com/office/officeart/2024/layout/HorizontalActionList">
  <dgm:title val=""/>
  <dgm:desc val=""/>
  <dgm:catLst>
    <dgm:cat type="textcard" pri="2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2" destOrd="0"/>
        <dgm:cxn modelId="13" srcId="1" destId="11" srcOrd="0" destOrd="0"/>
        <dgm:cxn modelId="23" srcId="2" destId="21" srcOrd="0" destOrd="0"/>
        <dgm:cxn modelId="33" srcId="3" destId="3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fact="0.95"/>
      <dgm:constr type="h" for="des" forName="composite" op="equ"/>
      <dgm:constr type="w" for="ch" forName="composite" refType="w"/>
      <dgm:constr type="w" for="des" forName="parTx"/>
      <dgm:constr type="h" for="des" forName="parTx" op="equ"/>
      <dgm:constr type="w" for="des" forName="bgOutline"/>
      <dgm:constr type="primFontSz" for="des" forName="parTx" val="54"/>
      <dgm:constr type="primFontSz" for="des" forName="bgOutline" refType="primFontSz" refFor="des" refForName="parTx" op="lte" fact="0.75"/>
      <dgm:constr type="h" for="des" forName="bgOutline" op="equ"/>
      <dgm:constr type="w" for="ch" forName="space" op="equ" val="3"/>
    </dgm:constrLst>
    <dgm:ruleLst>
      <dgm:rule type="w" for="ch" forName="composite" val="0" fact="NaN" max="NaN"/>
    </dgm:ruleLst>
    <dgm:forEach name="Name6"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bgOutline"/>
          <dgm:constr type="t" for="ch" forName="bgOutline" refType="h" refFor="ch" refForName="parTx" fact="0.97"/>
          <dgm:constr type="w" for="ch" forName="bgOutline" refType="w"/>
          <dgm:constr type="h" for="ch" forName="bgOutline" refType="h" fact="0.75"/>
        </dgm:constrLst>
        <dgm:ruleLst/>
        <dgm:layoutNode name="parTx" styleLbl="alignNode1">
          <dgm:varLst>
            <dgm:chMax val="0"/>
            <dgm:chPref val="0"/>
          </dgm:varLst>
          <dgm:alg type="tx">
            <dgm:param type="parTxLTRAlign" val="l"/>
            <dgm:param type="parTxRTLAlign" val="r"/>
          </dgm:alg>
          <dgm:shape xmlns:r="http://schemas.openxmlformats.org/officeDocument/2006/relationships" type="round2SameRect" r:blip="" zOrderOff="3">
            <dgm:adjLst>
              <dgm:adj idx="1" val="0.45"/>
            </dgm:adjLst>
          </dgm:shape>
          <dgm:presOf axis="self" ptType="node"/>
          <dgm:constrLst>
            <dgm:constr type="h" refType="w" op="lte" fact="0.3"/>
            <dgm:constr type="h"/>
            <dgm:constr type="tMarg" refType="w" fact="0.224"/>
            <dgm:constr type="bMarg" refType="w" fact="0.224"/>
            <dgm:constr type="lMarg" refType="w" fact="0.224"/>
            <dgm:constr type="rMarg" refType="w" fact="0.224"/>
          </dgm:constrLst>
          <dgm:ruleLst>
            <dgm:rule type="primFontSz" val="14" fact="NaN" max="NaN"/>
          </dgm:ruleLst>
        </dgm:layoutNode>
        <dgm:layoutNode name="bgOutline" styleLbl="fgAcc1">
          <dgm:varLst>
            <dgm:bulletEnabled/>
          </dgm:varLst>
          <dgm:alg type="tx">
            <dgm:param type="stBulletLvl" val="0"/>
            <dgm:param type="txAnchorVert" val="t"/>
            <dgm:param type="parTxLTRAlign" val="l"/>
            <dgm:param type="shpTxLTRAlignCh" val="l"/>
            <dgm:param type="parTxRTLAlign" val="r"/>
            <dgm:param type="shpTxRTLAlignCh" val="r"/>
          </dgm:alg>
          <dgm:shape xmlns:r="http://schemas.openxmlformats.org/officeDocument/2006/relationships" rot="180" type="round2SameRect" r:blip="">
            <dgm:adjLst>
              <dgm:adj idx="1" val="0.15"/>
              <dgm:adj idx="2" val="0"/>
            </dgm:adjLst>
          </dgm:shape>
          <dgm:presOf axis="des" ptType="node"/>
          <dgm:constrLst>
            <dgm:constr type="primFontSz" val="28"/>
            <dgm:constr type="tMarg" refType="w" fact="0.12"/>
            <dgm:constr type="bMarg" refType="w" fact="0.12"/>
            <dgm:constr type="lMarg" refType="w" fact="0.12"/>
            <dgm:constr type="rMarg" refType="w" fact="0.12"/>
          </dgm:constrLst>
          <dgm:ruleLst>
            <dgm:rule type="primFontSz" val="11"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ltNode1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NoLn">
    <dgm:scene3d>
      <a:camera prst="orthographicFront"/>
      <a:lightRig rig="threePt" dir="t"/>
    </dgm:scene3d>
    <dgm:sp3d/>
    <dgm:txPr/>
    <dgm:style>
      <a:lnRef idx="1">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revTxLt">
    <dgm:scene3d>
      <a:camera prst="orthographicFront"/>
      <a:lightRig rig="threePt" dir="t"/>
    </dgm:scene3d>
    <dgm:sp3d/>
    <dgm:txPr/>
    <dgm:style>
      <a:lnRef idx="0">
        <a:scrgbClr r="0" g="0" b="0"/>
      </a:lnRef>
      <a:fillRef idx="0">
        <a:scrgbClr r="0" g="0" b="0"/>
      </a:fillRef>
      <a:effectRef idx="0">
        <a:scrgbClr r="0" g="0" b="0"/>
      </a:effectRef>
      <a:fontRef idx="minor">
        <a:schemeClr val="lt1"/>
      </a:fontRef>
    </dgm:style>
  </dgm:styleLbl>
</dgm:styleDef>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diagramQuickStyle" Target="../diagrams/quickStyle1.xml"/><Relationship Id="rId7" Type="http://schemas.openxmlformats.org/officeDocument/2006/relationships/chart" Target="../charts/char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chart" Target="../charts/chart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5</xdr:col>
      <xdr:colOff>323850</xdr:colOff>
      <xdr:row>0</xdr:row>
      <xdr:rowOff>19049</xdr:rowOff>
    </xdr:from>
    <xdr:to>
      <xdr:col>8</xdr:col>
      <xdr:colOff>133350</xdr:colOff>
      <xdr:row>7</xdr:row>
      <xdr:rowOff>9525</xdr:rowOff>
    </xdr:to>
    <mc:AlternateContent xmlns:mc="http://schemas.openxmlformats.org/markup-compatibility/2006">
      <mc:Choice xmlns:tsle="http://schemas.microsoft.com/office/drawing/2012/timeslicer" Requires="tsle">
        <xdr:graphicFrame macro="">
          <xdr:nvGraphicFramePr>
            <xdr:cNvPr id="2" name="Order_Date">
              <a:extLst>
                <a:ext uri="{FF2B5EF4-FFF2-40B4-BE49-F238E27FC236}">
                  <a16:creationId xmlns:a16="http://schemas.microsoft.com/office/drawing/2014/main" id="{BF01E2B3-7EE4-8B28-D674-6B814CF4B90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905250" y="19049"/>
              <a:ext cx="1552575" cy="13239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5</xdr:row>
      <xdr:rowOff>180974</xdr:rowOff>
    </xdr:from>
    <xdr:to>
      <xdr:col>3</xdr:col>
      <xdr:colOff>457200</xdr:colOff>
      <xdr:row>12</xdr:row>
      <xdr:rowOff>104775</xdr:rowOff>
    </xdr:to>
    <xdr:sp macro="" textlink="">
      <xdr:nvSpPr>
        <xdr:cNvPr id="3" name="Rectangle 2">
          <a:extLst>
            <a:ext uri="{FF2B5EF4-FFF2-40B4-BE49-F238E27FC236}">
              <a16:creationId xmlns:a16="http://schemas.microsoft.com/office/drawing/2014/main" id="{B3B417C2-D615-BE16-599D-64FCD0884BCA}"/>
            </a:ext>
          </a:extLst>
        </xdr:cNvPr>
        <xdr:cNvSpPr/>
      </xdr:nvSpPr>
      <xdr:spPr>
        <a:xfrm>
          <a:off x="304800" y="1133474"/>
          <a:ext cx="1981200" cy="1257301"/>
        </a:xfrm>
        <a:prstGeom prst="rect">
          <a:avLst/>
        </a:prstGeom>
        <a:solidFill>
          <a:schemeClr val="bg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fontAlgn="b"/>
          <a:r>
            <a:rPr lang="en-IN" sz="1600" b="0" i="0" u="none" strike="noStrike">
              <a:solidFill>
                <a:schemeClr val="accent1">
                  <a:lumMod val="50000"/>
                </a:schemeClr>
              </a:solidFill>
              <a:effectLst/>
              <a:latin typeface="+mn-lt"/>
              <a:ea typeface="+mn-ea"/>
              <a:cs typeface="+mn-cs"/>
            </a:rPr>
            <a:t>Best Selling Region</a:t>
          </a:r>
          <a:endParaRPr lang="en-IN" sz="1200" b="0" i="0" u="none" strike="noStrike">
            <a:solidFill>
              <a:schemeClr val="lt1"/>
            </a:solidFill>
            <a:effectLst/>
            <a:latin typeface="+mn-lt"/>
            <a:ea typeface="+mn-ea"/>
            <a:cs typeface="+mn-cs"/>
          </a:endParaRPr>
        </a:p>
        <a:p>
          <a:pPr fontAlgn="b"/>
          <a:r>
            <a:rPr lang="en-IN" sz="1400" b="0" i="0" u="none" strike="noStrike">
              <a:solidFill>
                <a:schemeClr val="accent1">
                  <a:lumMod val="50000"/>
                </a:schemeClr>
              </a:solidFill>
              <a:effectLst/>
              <a:latin typeface="+mn-lt"/>
              <a:ea typeface="+mn-ea"/>
              <a:cs typeface="+mn-cs"/>
            </a:rPr>
            <a:t> </a:t>
          </a:r>
        </a:p>
        <a:p>
          <a:r>
            <a:rPr lang="en-IN" sz="1400" b="1" i="0" u="none" strike="noStrike">
              <a:solidFill>
                <a:schemeClr val="accent2">
                  <a:lumMod val="75000"/>
                </a:schemeClr>
              </a:solidFill>
              <a:effectLst/>
              <a:latin typeface="+mn-lt"/>
              <a:ea typeface="+mn-ea"/>
              <a:cs typeface="+mn-cs"/>
            </a:rPr>
            <a:t>Name          </a:t>
          </a:r>
          <a:r>
            <a:rPr lang="en-IN" sz="1400">
              <a:solidFill>
                <a:schemeClr val="accent2">
                  <a:lumMod val="75000"/>
                </a:schemeClr>
              </a:solidFill>
              <a:effectLst/>
            </a:rPr>
            <a:t> </a:t>
          </a:r>
          <a:r>
            <a:rPr lang="en-IN" sz="1400" b="1" i="0" u="none" strike="noStrike">
              <a:solidFill>
                <a:schemeClr val="accent2">
                  <a:lumMod val="75000"/>
                </a:schemeClr>
              </a:solidFill>
              <a:effectLst/>
              <a:latin typeface="+mn-lt"/>
              <a:ea typeface="+mn-ea"/>
              <a:cs typeface="+mn-cs"/>
            </a:rPr>
            <a:t>Sales</a:t>
          </a:r>
          <a:r>
            <a:rPr lang="en-IN" sz="1400">
              <a:solidFill>
                <a:schemeClr val="accent2">
                  <a:lumMod val="75000"/>
                </a:schemeClr>
              </a:solidFill>
              <a:effectLst/>
            </a:rPr>
            <a:t> </a:t>
          </a:r>
        </a:p>
        <a:p>
          <a:r>
            <a:rPr lang="en-IN" sz="1400" b="0" i="0" u="none" strike="noStrike">
              <a:solidFill>
                <a:schemeClr val="accent2">
                  <a:lumMod val="75000"/>
                </a:schemeClr>
              </a:solidFill>
              <a:effectLst/>
              <a:latin typeface="+mn-lt"/>
              <a:ea typeface="+mn-ea"/>
              <a:cs typeface="+mn-cs"/>
            </a:rPr>
            <a:t>West        </a:t>
          </a:r>
          <a:r>
            <a:rPr lang="en-IN" sz="1400">
              <a:solidFill>
                <a:schemeClr val="accent2">
                  <a:lumMod val="75000"/>
                </a:schemeClr>
              </a:solidFill>
              <a:effectLst/>
            </a:rPr>
            <a:t>  </a:t>
          </a:r>
          <a:r>
            <a:rPr lang="en-IN" sz="1400" b="0" i="0" u="none" strike="noStrike">
              <a:solidFill>
                <a:schemeClr val="accent2">
                  <a:lumMod val="75000"/>
                </a:schemeClr>
              </a:solidFill>
              <a:effectLst/>
              <a:latin typeface="+mn-lt"/>
              <a:ea typeface="+mn-ea"/>
              <a:cs typeface="+mn-cs"/>
            </a:rPr>
            <a:t>44083.58</a:t>
          </a:r>
          <a:r>
            <a:rPr lang="en-IN" sz="1400">
              <a:solidFill>
                <a:schemeClr val="accent2">
                  <a:lumMod val="75000"/>
                </a:schemeClr>
              </a:solidFill>
              <a:effectLst/>
            </a:rPr>
            <a:t> </a:t>
          </a:r>
        </a:p>
        <a:p>
          <a:pPr algn="l"/>
          <a:endParaRPr lang="en-IN" sz="1100"/>
        </a:p>
      </xdr:txBody>
    </xdr:sp>
    <xdr:clientData/>
  </xdr:twoCellAnchor>
  <xdr:twoCellAnchor>
    <xdr:from>
      <xdr:col>4</xdr:col>
      <xdr:colOff>438149</xdr:colOff>
      <xdr:row>5</xdr:row>
      <xdr:rowOff>152400</xdr:rowOff>
    </xdr:from>
    <xdr:to>
      <xdr:col>17</xdr:col>
      <xdr:colOff>38100</xdr:colOff>
      <xdr:row>12</xdr:row>
      <xdr:rowOff>0</xdr:rowOff>
    </xdr:to>
    <xdr:graphicFrame macro="">
      <xdr:nvGraphicFramePr>
        <xdr:cNvPr id="6" name="Diagram 5">
          <a:extLst>
            <a:ext uri="{FF2B5EF4-FFF2-40B4-BE49-F238E27FC236}">
              <a16:creationId xmlns:a16="http://schemas.microsoft.com/office/drawing/2014/main" id="{97EE41AB-3F9A-9DD4-24F3-A1A32321F2D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152400</xdr:colOff>
      <xdr:row>14</xdr:row>
      <xdr:rowOff>114299</xdr:rowOff>
    </xdr:from>
    <xdr:to>
      <xdr:col>8</xdr:col>
      <xdr:colOff>104774</xdr:colOff>
      <xdr:row>31</xdr:row>
      <xdr:rowOff>38100</xdr:rowOff>
    </xdr:to>
    <xdr:graphicFrame macro="">
      <xdr:nvGraphicFramePr>
        <xdr:cNvPr id="7" name="Chart 6">
          <a:extLst>
            <a:ext uri="{FF2B5EF4-FFF2-40B4-BE49-F238E27FC236}">
              <a16:creationId xmlns:a16="http://schemas.microsoft.com/office/drawing/2014/main" id="{0A251871-F082-45EC-BC33-075EA7F05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352425</xdr:colOff>
      <xdr:row>2</xdr:row>
      <xdr:rowOff>180976</xdr:rowOff>
    </xdr:from>
    <xdr:to>
      <xdr:col>24</xdr:col>
      <xdr:colOff>352425</xdr:colOff>
      <xdr:row>9</xdr:row>
      <xdr:rowOff>123826</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BC6F46F1-04E4-D5FF-C3EB-455C92075B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154025" y="561976"/>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533400</xdr:colOff>
      <xdr:row>14</xdr:row>
      <xdr:rowOff>142874</xdr:rowOff>
    </xdr:from>
    <xdr:to>
      <xdr:col>16</xdr:col>
      <xdr:colOff>495300</xdr:colOff>
      <xdr:row>31</xdr:row>
      <xdr:rowOff>57149</xdr:rowOff>
    </xdr:to>
    <xdr:graphicFrame macro="">
      <xdr:nvGraphicFramePr>
        <xdr:cNvPr id="10" name="Chart 9">
          <a:extLst>
            <a:ext uri="{FF2B5EF4-FFF2-40B4-BE49-F238E27FC236}">
              <a16:creationId xmlns:a16="http://schemas.microsoft.com/office/drawing/2014/main" id="{1C32613C-064E-499D-A8C9-B42B7CE2E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409575</xdr:colOff>
      <xdr:row>6</xdr:row>
      <xdr:rowOff>57150</xdr:rowOff>
    </xdr:from>
    <xdr:to>
      <xdr:col>20</xdr:col>
      <xdr:colOff>57150</xdr:colOff>
      <xdr:row>11</xdr:row>
      <xdr:rowOff>123825</xdr:rowOff>
    </xdr:to>
    <xdr:sp macro="" textlink="">
      <xdr:nvSpPr>
        <xdr:cNvPr id="11" name="Rectangle: Top Corners Rounded 10">
          <a:extLst>
            <a:ext uri="{FF2B5EF4-FFF2-40B4-BE49-F238E27FC236}">
              <a16:creationId xmlns:a16="http://schemas.microsoft.com/office/drawing/2014/main" id="{FD275C78-7C02-699E-4FF7-991D4BED3C2D}"/>
            </a:ext>
          </a:extLst>
        </xdr:cNvPr>
        <xdr:cNvSpPr/>
      </xdr:nvSpPr>
      <xdr:spPr>
        <a:xfrm>
          <a:off x="10772775" y="1200150"/>
          <a:ext cx="1476375" cy="1019175"/>
        </a:xfrm>
        <a:prstGeom prst="round2Same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600" b="1" i="1">
              <a:solidFill>
                <a:schemeClr val="tx1"/>
              </a:solidFill>
            </a:rPr>
            <a:t>Total Sales </a:t>
          </a:r>
        </a:p>
        <a:p>
          <a:pPr algn="l"/>
          <a:endParaRPr lang="en-IN" sz="1600" b="1" i="1">
            <a:solidFill>
              <a:schemeClr val="tx1"/>
            </a:solidFill>
          </a:endParaRPr>
        </a:p>
        <a:p>
          <a:pPr algn="l"/>
          <a:r>
            <a:rPr lang="en-IN" sz="1600" b="1" i="0" u="none" strike="noStrike">
              <a:solidFill>
                <a:schemeClr val="tx1"/>
              </a:solidFill>
              <a:effectLst/>
              <a:latin typeface="+mn-lt"/>
              <a:ea typeface="+mn-ea"/>
              <a:cs typeface="+mn-cs"/>
            </a:rPr>
            <a:t> $ 1,95,217.76 </a:t>
          </a:r>
          <a:endParaRPr lang="en-IN" sz="2400" b="1" i="1">
            <a:solidFill>
              <a:schemeClr val="tx1"/>
            </a:solidFill>
          </a:endParaRPr>
        </a:p>
      </xdr:txBody>
    </xdr:sp>
    <xdr:clientData/>
  </xdr:twoCellAnchor>
  <xdr:twoCellAnchor>
    <xdr:from>
      <xdr:col>18</xdr:col>
      <xdr:colOff>9525</xdr:colOff>
      <xdr:row>14</xdr:row>
      <xdr:rowOff>190499</xdr:rowOff>
    </xdr:from>
    <xdr:to>
      <xdr:col>26</xdr:col>
      <xdr:colOff>428625</xdr:colOff>
      <xdr:row>31</xdr:row>
      <xdr:rowOff>66674</xdr:rowOff>
    </xdr:to>
    <xdr:graphicFrame macro="">
      <xdr:nvGraphicFramePr>
        <xdr:cNvPr id="12" name="Chart 11">
          <a:extLst>
            <a:ext uri="{FF2B5EF4-FFF2-40B4-BE49-F238E27FC236}">
              <a16:creationId xmlns:a16="http://schemas.microsoft.com/office/drawing/2014/main" id="{FBDCFDDD-A8B9-43AB-BCF9-758E4864E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043056944443" createdVersion="8" refreshedVersion="8" minRefreshableVersion="3" recordCount="200" xr:uid="{2DD2AE09-AD8A-48F3-9C79-43112B52EA94}">
  <cacheSource type="worksheet">
    <worksheetSource ref="A1:J201" sheet="Data Sheet"/>
  </cacheSource>
  <cacheFields count="13">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164">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2"/>
    </cacheField>
    <cacheField name="Month" numFmtId="0">
      <sharedItems containsMixedTypes="1" containsNumber="1" containsInteger="1" minValue="1" maxValue="12" count="24">
        <n v="4"/>
        <n v="5"/>
        <n v="6"/>
        <n v="7"/>
        <n v="8"/>
        <n v="9"/>
        <n v="10"/>
        <n v="11"/>
        <n v="12"/>
        <n v="1"/>
        <n v="2"/>
        <n v="3"/>
        <s v="April" u="1"/>
        <s v="May" u="1"/>
        <s v="June" u="1"/>
        <s v="July" u="1"/>
        <s v="August" u="1"/>
        <s v="September" u="1"/>
        <s v="October" u="1"/>
        <s v="November" u="1"/>
        <s v="December" u="1"/>
        <s v="January" u="1"/>
        <s v="February" u="1"/>
        <s v="March" u="1"/>
      </sharedItems>
    </cacheField>
    <cacheField name="Profit" numFmtId="164">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645607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n v="0.2"/>
    <x v="0"/>
    <x v="0"/>
    <n v="331.55"/>
  </r>
  <r>
    <s v="CUST012"/>
    <x v="1"/>
    <x v="0"/>
    <x v="1"/>
    <x v="1"/>
    <n v="3"/>
    <n v="0.2"/>
    <x v="1"/>
    <x v="0"/>
    <n v="440.51"/>
  </r>
  <r>
    <s v="CUST017"/>
    <x v="2"/>
    <x v="1"/>
    <x v="0"/>
    <x v="2"/>
    <n v="17"/>
    <n v="0"/>
    <x v="2"/>
    <x v="0"/>
    <n v="285.33999999999997"/>
  </r>
  <r>
    <s v="CUST005"/>
    <x v="1"/>
    <x v="2"/>
    <x v="2"/>
    <x v="3"/>
    <n v="4"/>
    <n v="0.15"/>
    <x v="2"/>
    <x v="0"/>
    <n v="161.69999999999999"/>
  </r>
  <r>
    <s v="CUST030"/>
    <x v="3"/>
    <x v="3"/>
    <x v="0"/>
    <x v="4"/>
    <n v="12"/>
    <n v="0.2"/>
    <x v="3"/>
    <x v="0"/>
    <n v="271.04000000000002"/>
  </r>
  <r>
    <s v="CUST007"/>
    <x v="4"/>
    <x v="3"/>
    <x v="3"/>
    <x v="5"/>
    <n v="8"/>
    <n v="0.1"/>
    <x v="4"/>
    <x v="0"/>
    <n v="304.18"/>
  </r>
  <r>
    <s v="CUST001"/>
    <x v="5"/>
    <x v="0"/>
    <x v="2"/>
    <x v="6"/>
    <n v="12"/>
    <n v="0.05"/>
    <x v="4"/>
    <x v="0"/>
    <n v="312.91000000000003"/>
  </r>
  <r>
    <s v="CUST026"/>
    <x v="6"/>
    <x v="1"/>
    <x v="3"/>
    <x v="7"/>
    <n v="6"/>
    <n v="0.2"/>
    <x v="5"/>
    <x v="0"/>
    <n v="300.85000000000002"/>
  </r>
  <r>
    <s v="CUST009"/>
    <x v="7"/>
    <x v="4"/>
    <x v="0"/>
    <x v="8"/>
    <n v="11"/>
    <n v="0.05"/>
    <x v="5"/>
    <x v="0"/>
    <n v="190.59"/>
  </r>
  <r>
    <s v="CUST010"/>
    <x v="8"/>
    <x v="4"/>
    <x v="1"/>
    <x v="9"/>
    <n v="2"/>
    <n v="0.05"/>
    <x v="5"/>
    <x v="0"/>
    <n v="350.22"/>
  </r>
  <r>
    <s v="CUST014"/>
    <x v="9"/>
    <x v="0"/>
    <x v="4"/>
    <x v="10"/>
    <n v="6"/>
    <n v="0.05"/>
    <x v="6"/>
    <x v="0"/>
    <n v="672.38"/>
  </r>
  <r>
    <s v="CUST014"/>
    <x v="8"/>
    <x v="4"/>
    <x v="0"/>
    <x v="11"/>
    <n v="14"/>
    <n v="0.15"/>
    <x v="7"/>
    <x v="0"/>
    <n v="456.66"/>
  </r>
  <r>
    <s v="CUST007"/>
    <x v="4"/>
    <x v="4"/>
    <x v="0"/>
    <x v="12"/>
    <n v="14"/>
    <n v="0.05"/>
    <x v="8"/>
    <x v="0"/>
    <n v="452.8"/>
  </r>
  <r>
    <s v="CUST023"/>
    <x v="1"/>
    <x v="0"/>
    <x v="3"/>
    <x v="13"/>
    <n v="7"/>
    <n v="0.05"/>
    <x v="8"/>
    <x v="0"/>
    <n v="273.41000000000003"/>
  </r>
  <r>
    <s v="CUST029"/>
    <x v="10"/>
    <x v="3"/>
    <x v="3"/>
    <x v="14"/>
    <n v="15"/>
    <n v="0.15"/>
    <x v="9"/>
    <x v="0"/>
    <n v="155.19999999999999"/>
  </r>
  <r>
    <s v="CUST005"/>
    <x v="11"/>
    <x v="2"/>
    <x v="2"/>
    <x v="15"/>
    <n v="14"/>
    <n v="0.2"/>
    <x v="10"/>
    <x v="0"/>
    <n v="300.58999999999997"/>
  </r>
  <r>
    <s v="CUST008"/>
    <x v="1"/>
    <x v="2"/>
    <x v="0"/>
    <x v="16"/>
    <n v="10"/>
    <n v="0.15"/>
    <x v="11"/>
    <x v="0"/>
    <n v="298.38"/>
  </r>
  <r>
    <s v="CUST001"/>
    <x v="12"/>
    <x v="0"/>
    <x v="0"/>
    <x v="17"/>
    <n v="4"/>
    <n v="0.2"/>
    <x v="11"/>
    <x v="0"/>
    <n v="203.74"/>
  </r>
  <r>
    <s v="CUST006"/>
    <x v="13"/>
    <x v="0"/>
    <x v="0"/>
    <x v="18"/>
    <n v="13"/>
    <n v="0.2"/>
    <x v="12"/>
    <x v="0"/>
    <n v="481.96"/>
  </r>
  <r>
    <s v="CUST026"/>
    <x v="6"/>
    <x v="4"/>
    <x v="2"/>
    <x v="19"/>
    <n v="4"/>
    <n v="0"/>
    <x v="13"/>
    <x v="1"/>
    <n v="161.26"/>
  </r>
  <r>
    <s v="CUST007"/>
    <x v="14"/>
    <x v="2"/>
    <x v="1"/>
    <x v="20"/>
    <n v="11"/>
    <n v="0"/>
    <x v="14"/>
    <x v="1"/>
    <n v="476.65"/>
  </r>
  <r>
    <s v="CUST022"/>
    <x v="1"/>
    <x v="3"/>
    <x v="2"/>
    <x v="21"/>
    <n v="14"/>
    <n v="0.15"/>
    <x v="15"/>
    <x v="1"/>
    <n v="82.57"/>
  </r>
  <r>
    <s v="CUST019"/>
    <x v="6"/>
    <x v="0"/>
    <x v="0"/>
    <x v="22"/>
    <n v="9"/>
    <n v="0"/>
    <x v="15"/>
    <x v="1"/>
    <n v="297.27"/>
  </r>
  <r>
    <s v="CUST023"/>
    <x v="6"/>
    <x v="4"/>
    <x v="2"/>
    <x v="23"/>
    <n v="6"/>
    <n v="0"/>
    <x v="15"/>
    <x v="1"/>
    <n v="176.59"/>
  </r>
  <r>
    <s v="CUST012"/>
    <x v="6"/>
    <x v="4"/>
    <x v="4"/>
    <x v="24"/>
    <n v="8"/>
    <n v="0.1"/>
    <x v="16"/>
    <x v="1"/>
    <n v="374.75"/>
  </r>
  <r>
    <s v="CUST010"/>
    <x v="15"/>
    <x v="2"/>
    <x v="2"/>
    <x v="25"/>
    <n v="18"/>
    <n v="0"/>
    <x v="16"/>
    <x v="1"/>
    <n v="293.27999999999997"/>
  </r>
  <r>
    <s v="CUST030"/>
    <x v="16"/>
    <x v="3"/>
    <x v="3"/>
    <x v="26"/>
    <n v="17"/>
    <n v="0"/>
    <x v="17"/>
    <x v="1"/>
    <n v="236.44"/>
  </r>
  <r>
    <s v="CUST007"/>
    <x v="1"/>
    <x v="4"/>
    <x v="0"/>
    <x v="27"/>
    <n v="2"/>
    <n v="0.05"/>
    <x v="18"/>
    <x v="1"/>
    <n v="356.85"/>
  </r>
  <r>
    <s v="CUST028"/>
    <x v="17"/>
    <x v="1"/>
    <x v="4"/>
    <x v="28"/>
    <n v="19"/>
    <n v="0.1"/>
    <x v="19"/>
    <x v="1"/>
    <n v="398.25"/>
  </r>
  <r>
    <s v="CUST028"/>
    <x v="3"/>
    <x v="2"/>
    <x v="2"/>
    <x v="29"/>
    <n v="3"/>
    <n v="0.2"/>
    <x v="19"/>
    <x v="1"/>
    <n v="160.24"/>
  </r>
  <r>
    <s v="CUST025"/>
    <x v="18"/>
    <x v="3"/>
    <x v="2"/>
    <x v="30"/>
    <n v="5"/>
    <n v="0.1"/>
    <x v="20"/>
    <x v="1"/>
    <n v="326.41000000000003"/>
  </r>
  <r>
    <s v="CUST022"/>
    <x v="19"/>
    <x v="4"/>
    <x v="0"/>
    <x v="31"/>
    <n v="18"/>
    <n v="0.05"/>
    <x v="21"/>
    <x v="1"/>
    <n v="388.82"/>
  </r>
  <r>
    <s v="CUST001"/>
    <x v="13"/>
    <x v="0"/>
    <x v="3"/>
    <x v="32"/>
    <n v="5"/>
    <n v="0.15"/>
    <x v="21"/>
    <x v="1"/>
    <n v="253.98"/>
  </r>
  <r>
    <s v="CUST021"/>
    <x v="11"/>
    <x v="2"/>
    <x v="2"/>
    <x v="33"/>
    <n v="10"/>
    <n v="0.1"/>
    <x v="22"/>
    <x v="1"/>
    <n v="217.78"/>
  </r>
  <r>
    <s v="CUST015"/>
    <x v="17"/>
    <x v="3"/>
    <x v="4"/>
    <x v="34"/>
    <n v="14"/>
    <n v="0.05"/>
    <x v="22"/>
    <x v="1"/>
    <n v="513.38"/>
  </r>
  <r>
    <s v="CUST012"/>
    <x v="4"/>
    <x v="0"/>
    <x v="0"/>
    <x v="35"/>
    <n v="12"/>
    <n v="0.2"/>
    <x v="22"/>
    <x v="1"/>
    <n v="151.16"/>
  </r>
  <r>
    <s v="CUST019"/>
    <x v="18"/>
    <x v="1"/>
    <x v="4"/>
    <x v="36"/>
    <n v="9"/>
    <n v="0.05"/>
    <x v="22"/>
    <x v="1"/>
    <n v="359.49"/>
  </r>
  <r>
    <s v="CUST028"/>
    <x v="14"/>
    <x v="4"/>
    <x v="3"/>
    <x v="37"/>
    <n v="11"/>
    <n v="0.05"/>
    <x v="23"/>
    <x v="1"/>
    <n v="468.84"/>
  </r>
  <r>
    <s v="CUST008"/>
    <x v="20"/>
    <x v="4"/>
    <x v="3"/>
    <x v="38"/>
    <n v="13"/>
    <n v="0.15"/>
    <x v="23"/>
    <x v="1"/>
    <n v="229.99"/>
  </r>
  <r>
    <s v="CUST016"/>
    <x v="21"/>
    <x v="1"/>
    <x v="0"/>
    <x v="39"/>
    <n v="19"/>
    <n v="0.15"/>
    <x v="24"/>
    <x v="1"/>
    <n v="197.35"/>
  </r>
  <r>
    <s v="CUST005"/>
    <x v="10"/>
    <x v="2"/>
    <x v="0"/>
    <x v="40"/>
    <n v="15"/>
    <n v="0.1"/>
    <x v="25"/>
    <x v="2"/>
    <n v="414.44"/>
  </r>
  <r>
    <s v="CUST028"/>
    <x v="3"/>
    <x v="4"/>
    <x v="4"/>
    <x v="41"/>
    <n v="5"/>
    <n v="0.2"/>
    <x v="26"/>
    <x v="2"/>
    <n v="369.35"/>
  </r>
  <r>
    <s v="CUST023"/>
    <x v="19"/>
    <x v="1"/>
    <x v="4"/>
    <x v="42"/>
    <n v="11"/>
    <n v="0.15"/>
    <x v="26"/>
    <x v="2"/>
    <n v="212.83"/>
  </r>
  <r>
    <s v="CUST021"/>
    <x v="3"/>
    <x v="4"/>
    <x v="0"/>
    <x v="43"/>
    <n v="19"/>
    <n v="0.1"/>
    <x v="27"/>
    <x v="2"/>
    <n v="302.70999999999998"/>
  </r>
  <r>
    <s v="CUST026"/>
    <x v="21"/>
    <x v="3"/>
    <x v="3"/>
    <x v="44"/>
    <n v="12"/>
    <n v="0.15"/>
    <x v="27"/>
    <x v="2"/>
    <n v="365.11"/>
  </r>
  <r>
    <s v="CUST017"/>
    <x v="22"/>
    <x v="4"/>
    <x v="2"/>
    <x v="45"/>
    <n v="2"/>
    <n v="0"/>
    <x v="28"/>
    <x v="2"/>
    <n v="214.18"/>
  </r>
  <r>
    <s v="CUST025"/>
    <x v="19"/>
    <x v="4"/>
    <x v="4"/>
    <x v="46"/>
    <n v="8"/>
    <n v="0.15"/>
    <x v="28"/>
    <x v="2"/>
    <n v="468.72"/>
  </r>
  <r>
    <s v="CUST011"/>
    <x v="6"/>
    <x v="3"/>
    <x v="4"/>
    <x v="47"/>
    <n v="12"/>
    <n v="0"/>
    <x v="29"/>
    <x v="2"/>
    <n v="450.71"/>
  </r>
  <r>
    <s v="CUST021"/>
    <x v="4"/>
    <x v="1"/>
    <x v="3"/>
    <x v="48"/>
    <n v="19"/>
    <n v="0.2"/>
    <x v="30"/>
    <x v="2"/>
    <n v="332.32"/>
  </r>
  <r>
    <s v="CUST008"/>
    <x v="16"/>
    <x v="2"/>
    <x v="2"/>
    <x v="49"/>
    <n v="6"/>
    <n v="0.1"/>
    <x v="31"/>
    <x v="2"/>
    <n v="174.48"/>
  </r>
  <r>
    <s v="CUST007"/>
    <x v="7"/>
    <x v="2"/>
    <x v="2"/>
    <x v="50"/>
    <n v="6"/>
    <n v="0.05"/>
    <x v="32"/>
    <x v="2"/>
    <n v="242.6"/>
  </r>
  <r>
    <s v="CUST015"/>
    <x v="3"/>
    <x v="2"/>
    <x v="1"/>
    <x v="51"/>
    <n v="7"/>
    <n v="0.1"/>
    <x v="33"/>
    <x v="2"/>
    <n v="551.98"/>
  </r>
  <r>
    <s v="CUST030"/>
    <x v="23"/>
    <x v="2"/>
    <x v="3"/>
    <x v="52"/>
    <n v="2"/>
    <n v="0"/>
    <x v="34"/>
    <x v="2"/>
    <n v="380.43"/>
  </r>
  <r>
    <s v="CUST002"/>
    <x v="14"/>
    <x v="0"/>
    <x v="0"/>
    <x v="53"/>
    <n v="18"/>
    <n v="0.1"/>
    <x v="35"/>
    <x v="2"/>
    <n v="339.44"/>
  </r>
  <r>
    <s v="CUST009"/>
    <x v="9"/>
    <x v="3"/>
    <x v="2"/>
    <x v="54"/>
    <n v="15"/>
    <n v="0.15"/>
    <x v="36"/>
    <x v="2"/>
    <n v="173.99"/>
  </r>
  <r>
    <s v="CUST005"/>
    <x v="1"/>
    <x v="2"/>
    <x v="3"/>
    <x v="55"/>
    <n v="10"/>
    <n v="0.2"/>
    <x v="36"/>
    <x v="2"/>
    <n v="257.33"/>
  </r>
  <r>
    <s v="CUST030"/>
    <x v="24"/>
    <x v="4"/>
    <x v="0"/>
    <x v="56"/>
    <n v="11"/>
    <n v="0"/>
    <x v="37"/>
    <x v="2"/>
    <n v="389.3"/>
  </r>
  <r>
    <s v="CUST029"/>
    <x v="23"/>
    <x v="3"/>
    <x v="2"/>
    <x v="57"/>
    <n v="1"/>
    <n v="0.2"/>
    <x v="38"/>
    <x v="2"/>
    <n v="148.32"/>
  </r>
  <r>
    <s v="CUST003"/>
    <x v="9"/>
    <x v="3"/>
    <x v="0"/>
    <x v="58"/>
    <n v="2"/>
    <n v="0.1"/>
    <x v="39"/>
    <x v="2"/>
    <n v="449.58"/>
  </r>
  <r>
    <s v="CUST012"/>
    <x v="20"/>
    <x v="0"/>
    <x v="1"/>
    <x v="59"/>
    <n v="17"/>
    <n v="0"/>
    <x v="39"/>
    <x v="2"/>
    <n v="680.18"/>
  </r>
  <r>
    <s v="CUST021"/>
    <x v="6"/>
    <x v="1"/>
    <x v="0"/>
    <x v="60"/>
    <n v="8"/>
    <n v="0.1"/>
    <x v="40"/>
    <x v="3"/>
    <n v="497.99"/>
  </r>
  <r>
    <s v="CUST010"/>
    <x v="18"/>
    <x v="4"/>
    <x v="4"/>
    <x v="61"/>
    <n v="9"/>
    <n v="0"/>
    <x v="41"/>
    <x v="3"/>
    <n v="220.05"/>
  </r>
  <r>
    <s v="CUST026"/>
    <x v="6"/>
    <x v="1"/>
    <x v="3"/>
    <x v="62"/>
    <n v="17"/>
    <n v="0.1"/>
    <x v="42"/>
    <x v="3"/>
    <n v="294.12"/>
  </r>
  <r>
    <s v="CUST003"/>
    <x v="0"/>
    <x v="0"/>
    <x v="2"/>
    <x v="63"/>
    <n v="17"/>
    <n v="0.2"/>
    <x v="42"/>
    <x v="3"/>
    <n v="201.11"/>
  </r>
  <r>
    <s v="CUST029"/>
    <x v="21"/>
    <x v="2"/>
    <x v="2"/>
    <x v="64"/>
    <n v="5"/>
    <n v="0.05"/>
    <x v="43"/>
    <x v="3"/>
    <n v="261.27"/>
  </r>
  <r>
    <s v="CUST003"/>
    <x v="3"/>
    <x v="3"/>
    <x v="3"/>
    <x v="65"/>
    <n v="15"/>
    <n v="0.15"/>
    <x v="44"/>
    <x v="3"/>
    <n v="307.82"/>
  </r>
  <r>
    <s v="CUST002"/>
    <x v="6"/>
    <x v="2"/>
    <x v="0"/>
    <x v="66"/>
    <n v="12"/>
    <n v="0.05"/>
    <x v="45"/>
    <x v="3"/>
    <n v="333.05"/>
  </r>
  <r>
    <s v="CUST020"/>
    <x v="18"/>
    <x v="0"/>
    <x v="3"/>
    <x v="67"/>
    <n v="5"/>
    <n v="0.05"/>
    <x v="45"/>
    <x v="3"/>
    <n v="455.97"/>
  </r>
  <r>
    <s v="CUST021"/>
    <x v="13"/>
    <x v="3"/>
    <x v="2"/>
    <x v="68"/>
    <n v="11"/>
    <n v="0.05"/>
    <x v="46"/>
    <x v="3"/>
    <n v="242.31"/>
  </r>
  <r>
    <s v="CUST008"/>
    <x v="0"/>
    <x v="4"/>
    <x v="4"/>
    <x v="69"/>
    <n v="1"/>
    <n v="0.05"/>
    <x v="47"/>
    <x v="3"/>
    <n v="344.06"/>
  </r>
  <r>
    <s v="CUST030"/>
    <x v="18"/>
    <x v="4"/>
    <x v="2"/>
    <x v="70"/>
    <n v="1"/>
    <n v="0.05"/>
    <x v="48"/>
    <x v="3"/>
    <n v="144.56"/>
  </r>
  <r>
    <s v="CUST020"/>
    <x v="25"/>
    <x v="2"/>
    <x v="4"/>
    <x v="71"/>
    <n v="19"/>
    <n v="0"/>
    <x v="49"/>
    <x v="3"/>
    <n v="441.54"/>
  </r>
  <r>
    <s v="CUST024"/>
    <x v="18"/>
    <x v="1"/>
    <x v="2"/>
    <x v="72"/>
    <n v="10"/>
    <n v="0.15"/>
    <x v="50"/>
    <x v="4"/>
    <n v="114.7"/>
  </r>
  <r>
    <s v="CUST012"/>
    <x v="26"/>
    <x v="2"/>
    <x v="0"/>
    <x v="73"/>
    <n v="5"/>
    <n v="0.2"/>
    <x v="50"/>
    <x v="4"/>
    <n v="257.42"/>
  </r>
  <r>
    <s v="CUST024"/>
    <x v="9"/>
    <x v="0"/>
    <x v="2"/>
    <x v="74"/>
    <n v="13"/>
    <n v="0.2"/>
    <x v="51"/>
    <x v="4"/>
    <n v="305.32"/>
  </r>
  <r>
    <s v="CUST012"/>
    <x v="5"/>
    <x v="0"/>
    <x v="2"/>
    <x v="75"/>
    <n v="5"/>
    <n v="0.15"/>
    <x v="52"/>
    <x v="4"/>
    <n v="258.24"/>
  </r>
  <r>
    <s v="CUST005"/>
    <x v="17"/>
    <x v="4"/>
    <x v="3"/>
    <x v="76"/>
    <n v="3"/>
    <n v="0"/>
    <x v="53"/>
    <x v="4"/>
    <n v="441.47"/>
  </r>
  <r>
    <s v="CUST004"/>
    <x v="12"/>
    <x v="3"/>
    <x v="3"/>
    <x v="77"/>
    <n v="7"/>
    <n v="0.05"/>
    <x v="54"/>
    <x v="4"/>
    <n v="172.26"/>
  </r>
  <r>
    <s v="CUST026"/>
    <x v="5"/>
    <x v="0"/>
    <x v="4"/>
    <x v="78"/>
    <n v="1"/>
    <n v="0"/>
    <x v="55"/>
    <x v="4"/>
    <n v="500.1"/>
  </r>
  <r>
    <s v="CUST030"/>
    <x v="6"/>
    <x v="1"/>
    <x v="1"/>
    <x v="79"/>
    <n v="18"/>
    <n v="0.1"/>
    <x v="56"/>
    <x v="4"/>
    <n v="581.16"/>
  </r>
  <r>
    <s v="CUST007"/>
    <x v="18"/>
    <x v="3"/>
    <x v="0"/>
    <x v="80"/>
    <n v="19"/>
    <n v="0"/>
    <x v="57"/>
    <x v="4"/>
    <n v="271.88"/>
  </r>
  <r>
    <s v="CUST020"/>
    <x v="7"/>
    <x v="1"/>
    <x v="3"/>
    <x v="81"/>
    <n v="17"/>
    <n v="0"/>
    <x v="57"/>
    <x v="4"/>
    <n v="400.29"/>
  </r>
  <r>
    <s v="CUST028"/>
    <x v="15"/>
    <x v="4"/>
    <x v="2"/>
    <x v="82"/>
    <n v="7"/>
    <n v="0.1"/>
    <x v="58"/>
    <x v="5"/>
    <n v="177.77"/>
  </r>
  <r>
    <s v="CUST005"/>
    <x v="14"/>
    <x v="4"/>
    <x v="0"/>
    <x v="83"/>
    <n v="7"/>
    <n v="0.05"/>
    <x v="58"/>
    <x v="5"/>
    <n v="406.86"/>
  </r>
  <r>
    <s v="CUST015"/>
    <x v="8"/>
    <x v="0"/>
    <x v="1"/>
    <x v="84"/>
    <n v="4"/>
    <n v="0.1"/>
    <x v="59"/>
    <x v="5"/>
    <n v="526"/>
  </r>
  <r>
    <s v="CUST003"/>
    <x v="0"/>
    <x v="2"/>
    <x v="2"/>
    <x v="85"/>
    <n v="17"/>
    <n v="0"/>
    <x v="59"/>
    <x v="5"/>
    <n v="333.97"/>
  </r>
  <r>
    <s v="CUST023"/>
    <x v="18"/>
    <x v="1"/>
    <x v="3"/>
    <x v="86"/>
    <n v="9"/>
    <n v="0"/>
    <x v="60"/>
    <x v="5"/>
    <n v="305.8"/>
  </r>
  <r>
    <s v="CUST004"/>
    <x v="23"/>
    <x v="0"/>
    <x v="4"/>
    <x v="87"/>
    <n v="19"/>
    <n v="0"/>
    <x v="61"/>
    <x v="5"/>
    <n v="649.79"/>
  </r>
  <r>
    <s v="CUST023"/>
    <x v="3"/>
    <x v="1"/>
    <x v="4"/>
    <x v="88"/>
    <n v="11"/>
    <n v="0.15"/>
    <x v="62"/>
    <x v="5"/>
    <n v="441.53"/>
  </r>
  <r>
    <s v="CUST022"/>
    <x v="15"/>
    <x v="2"/>
    <x v="0"/>
    <x v="89"/>
    <n v="16"/>
    <n v="0.05"/>
    <x v="62"/>
    <x v="5"/>
    <n v="480.51"/>
  </r>
  <r>
    <s v="CUST007"/>
    <x v="24"/>
    <x v="0"/>
    <x v="3"/>
    <x v="90"/>
    <n v="4"/>
    <n v="0.1"/>
    <x v="63"/>
    <x v="5"/>
    <n v="346.99"/>
  </r>
  <r>
    <s v="CUST013"/>
    <x v="1"/>
    <x v="2"/>
    <x v="3"/>
    <x v="91"/>
    <n v="1"/>
    <n v="0.1"/>
    <x v="64"/>
    <x v="5"/>
    <n v="229.23"/>
  </r>
  <r>
    <s v="CUST027"/>
    <x v="9"/>
    <x v="1"/>
    <x v="4"/>
    <x v="92"/>
    <n v="13"/>
    <n v="0.15"/>
    <x v="64"/>
    <x v="5"/>
    <n v="334.84"/>
  </r>
  <r>
    <s v="CUST003"/>
    <x v="3"/>
    <x v="0"/>
    <x v="2"/>
    <x v="93"/>
    <n v="19"/>
    <n v="0.2"/>
    <x v="65"/>
    <x v="5"/>
    <n v="231.79"/>
  </r>
  <r>
    <s v="CUST018"/>
    <x v="13"/>
    <x v="2"/>
    <x v="0"/>
    <x v="94"/>
    <n v="2"/>
    <n v="0.15"/>
    <x v="66"/>
    <x v="5"/>
    <n v="328.54"/>
  </r>
  <r>
    <s v="CUST020"/>
    <x v="2"/>
    <x v="2"/>
    <x v="0"/>
    <x v="95"/>
    <n v="6"/>
    <n v="0"/>
    <x v="67"/>
    <x v="5"/>
    <n v="366.99"/>
  </r>
  <r>
    <s v="CUST029"/>
    <x v="21"/>
    <x v="0"/>
    <x v="3"/>
    <x v="96"/>
    <n v="7"/>
    <n v="0.15"/>
    <x v="68"/>
    <x v="5"/>
    <n v="348.96"/>
  </r>
  <r>
    <s v="CUST021"/>
    <x v="3"/>
    <x v="3"/>
    <x v="1"/>
    <x v="97"/>
    <n v="11"/>
    <n v="0.1"/>
    <x v="68"/>
    <x v="5"/>
    <n v="542.62"/>
  </r>
  <r>
    <s v="CUST017"/>
    <x v="23"/>
    <x v="0"/>
    <x v="4"/>
    <x v="98"/>
    <n v="10"/>
    <n v="0.2"/>
    <x v="69"/>
    <x v="5"/>
    <n v="297.69"/>
  </r>
  <r>
    <s v="CUST003"/>
    <x v="3"/>
    <x v="4"/>
    <x v="1"/>
    <x v="99"/>
    <n v="12"/>
    <n v="0"/>
    <x v="69"/>
    <x v="5"/>
    <n v="451.1"/>
  </r>
  <r>
    <s v="CUST027"/>
    <x v="9"/>
    <x v="3"/>
    <x v="0"/>
    <x v="100"/>
    <n v="17"/>
    <n v="0.1"/>
    <x v="70"/>
    <x v="5"/>
    <n v="210.95"/>
  </r>
  <r>
    <s v="CUST016"/>
    <x v="4"/>
    <x v="3"/>
    <x v="1"/>
    <x v="101"/>
    <n v="8"/>
    <n v="0.1"/>
    <x v="70"/>
    <x v="5"/>
    <n v="445.59"/>
  </r>
  <r>
    <s v="CUST008"/>
    <x v="19"/>
    <x v="4"/>
    <x v="2"/>
    <x v="102"/>
    <n v="13"/>
    <n v="0.2"/>
    <x v="71"/>
    <x v="6"/>
    <n v="202.82"/>
  </r>
  <r>
    <s v="CUST012"/>
    <x v="14"/>
    <x v="3"/>
    <x v="2"/>
    <x v="103"/>
    <n v="17"/>
    <n v="0"/>
    <x v="72"/>
    <x v="6"/>
    <n v="231.32"/>
  </r>
  <r>
    <s v="CUST025"/>
    <x v="13"/>
    <x v="1"/>
    <x v="3"/>
    <x v="104"/>
    <n v="8"/>
    <n v="0"/>
    <x v="73"/>
    <x v="6"/>
    <n v="450.29"/>
  </r>
  <r>
    <s v="CUST014"/>
    <x v="23"/>
    <x v="2"/>
    <x v="0"/>
    <x v="105"/>
    <n v="8"/>
    <n v="0.2"/>
    <x v="74"/>
    <x v="6"/>
    <n v="307.72000000000003"/>
  </r>
  <r>
    <s v="CUST008"/>
    <x v="3"/>
    <x v="1"/>
    <x v="0"/>
    <x v="106"/>
    <n v="19"/>
    <n v="0.15"/>
    <x v="74"/>
    <x v="6"/>
    <n v="367.59"/>
  </r>
  <r>
    <s v="CUST015"/>
    <x v="3"/>
    <x v="0"/>
    <x v="1"/>
    <x v="107"/>
    <n v="9"/>
    <n v="0.2"/>
    <x v="75"/>
    <x v="6"/>
    <n v="769.46"/>
  </r>
  <r>
    <s v="CUST025"/>
    <x v="24"/>
    <x v="4"/>
    <x v="1"/>
    <x v="108"/>
    <n v="14"/>
    <n v="0.1"/>
    <x v="76"/>
    <x v="6"/>
    <n v="327.92"/>
  </r>
  <r>
    <s v="CUST019"/>
    <x v="7"/>
    <x v="4"/>
    <x v="1"/>
    <x v="109"/>
    <n v="7"/>
    <n v="0.15"/>
    <x v="76"/>
    <x v="6"/>
    <n v="553.29999999999995"/>
  </r>
  <r>
    <s v="CUST024"/>
    <x v="24"/>
    <x v="1"/>
    <x v="0"/>
    <x v="110"/>
    <n v="16"/>
    <n v="0.1"/>
    <x v="77"/>
    <x v="6"/>
    <n v="352.86"/>
  </r>
  <r>
    <s v="CUST027"/>
    <x v="3"/>
    <x v="0"/>
    <x v="1"/>
    <x v="111"/>
    <n v="17"/>
    <n v="0.1"/>
    <x v="78"/>
    <x v="6"/>
    <n v="313.91000000000003"/>
  </r>
  <r>
    <s v="CUST006"/>
    <x v="26"/>
    <x v="0"/>
    <x v="3"/>
    <x v="112"/>
    <n v="1"/>
    <n v="0.15"/>
    <x v="78"/>
    <x v="6"/>
    <n v="355.1"/>
  </r>
  <r>
    <s v="CUST009"/>
    <x v="9"/>
    <x v="2"/>
    <x v="2"/>
    <x v="113"/>
    <n v="1"/>
    <n v="0"/>
    <x v="79"/>
    <x v="6"/>
    <n v="192.76"/>
  </r>
  <r>
    <s v="CUST003"/>
    <x v="25"/>
    <x v="3"/>
    <x v="1"/>
    <x v="114"/>
    <n v="1"/>
    <n v="0.2"/>
    <x v="80"/>
    <x v="6"/>
    <n v="264.44"/>
  </r>
  <r>
    <s v="CUST012"/>
    <x v="18"/>
    <x v="0"/>
    <x v="2"/>
    <x v="115"/>
    <n v="15"/>
    <n v="0"/>
    <x v="81"/>
    <x v="6"/>
    <n v="172.21"/>
  </r>
  <r>
    <s v="CUST013"/>
    <x v="5"/>
    <x v="4"/>
    <x v="0"/>
    <x v="116"/>
    <n v="4"/>
    <n v="0.05"/>
    <x v="82"/>
    <x v="7"/>
    <n v="474.66"/>
  </r>
  <r>
    <s v="CUST008"/>
    <x v="3"/>
    <x v="1"/>
    <x v="4"/>
    <x v="117"/>
    <n v="14"/>
    <n v="0.05"/>
    <x v="83"/>
    <x v="7"/>
    <n v="433.58"/>
  </r>
  <r>
    <s v="CUST025"/>
    <x v="14"/>
    <x v="1"/>
    <x v="0"/>
    <x v="118"/>
    <n v="2"/>
    <n v="0.15"/>
    <x v="84"/>
    <x v="7"/>
    <n v="343.6"/>
  </r>
  <r>
    <s v="CUST026"/>
    <x v="20"/>
    <x v="3"/>
    <x v="3"/>
    <x v="119"/>
    <n v="4"/>
    <n v="0.05"/>
    <x v="84"/>
    <x v="7"/>
    <n v="318.3"/>
  </r>
  <r>
    <s v="CUST001"/>
    <x v="12"/>
    <x v="3"/>
    <x v="3"/>
    <x v="120"/>
    <n v="3"/>
    <n v="0.05"/>
    <x v="85"/>
    <x v="7"/>
    <n v="358.41"/>
  </r>
  <r>
    <s v="CUST028"/>
    <x v="15"/>
    <x v="2"/>
    <x v="1"/>
    <x v="121"/>
    <n v="5"/>
    <n v="0"/>
    <x v="86"/>
    <x v="7"/>
    <n v="581.5"/>
  </r>
  <r>
    <s v="CUST025"/>
    <x v="12"/>
    <x v="1"/>
    <x v="4"/>
    <x v="122"/>
    <n v="10"/>
    <n v="0.1"/>
    <x v="87"/>
    <x v="7"/>
    <n v="410.9"/>
  </r>
  <r>
    <s v="CUST019"/>
    <x v="2"/>
    <x v="2"/>
    <x v="2"/>
    <x v="123"/>
    <n v="14"/>
    <n v="0"/>
    <x v="88"/>
    <x v="7"/>
    <n v="179.51"/>
  </r>
  <r>
    <s v="CUST004"/>
    <x v="2"/>
    <x v="4"/>
    <x v="1"/>
    <x v="124"/>
    <n v="18"/>
    <n v="0.2"/>
    <x v="88"/>
    <x v="7"/>
    <n v="511.14"/>
  </r>
  <r>
    <s v="CUST024"/>
    <x v="3"/>
    <x v="3"/>
    <x v="2"/>
    <x v="125"/>
    <n v="1"/>
    <n v="0.15"/>
    <x v="88"/>
    <x v="7"/>
    <n v="150.18"/>
  </r>
  <r>
    <s v="CUST002"/>
    <x v="15"/>
    <x v="1"/>
    <x v="2"/>
    <x v="126"/>
    <n v="15"/>
    <n v="0"/>
    <x v="89"/>
    <x v="7"/>
    <n v="352.65"/>
  </r>
  <r>
    <s v="CUST009"/>
    <x v="21"/>
    <x v="2"/>
    <x v="3"/>
    <x v="127"/>
    <n v="10"/>
    <n v="0"/>
    <x v="89"/>
    <x v="7"/>
    <n v="472.62"/>
  </r>
  <r>
    <s v="CUST029"/>
    <x v="12"/>
    <x v="1"/>
    <x v="2"/>
    <x v="128"/>
    <n v="4"/>
    <n v="0.15"/>
    <x v="89"/>
    <x v="7"/>
    <n v="195.33"/>
  </r>
  <r>
    <s v="CUST027"/>
    <x v="3"/>
    <x v="0"/>
    <x v="2"/>
    <x v="129"/>
    <n v="19"/>
    <n v="0"/>
    <x v="90"/>
    <x v="7"/>
    <n v="64.63"/>
  </r>
  <r>
    <s v="CUST011"/>
    <x v="21"/>
    <x v="1"/>
    <x v="0"/>
    <x v="130"/>
    <n v="5"/>
    <n v="0.05"/>
    <x v="90"/>
    <x v="7"/>
    <n v="461.12"/>
  </r>
  <r>
    <s v="CUST021"/>
    <x v="9"/>
    <x v="4"/>
    <x v="0"/>
    <x v="131"/>
    <n v="8"/>
    <n v="0.05"/>
    <x v="91"/>
    <x v="7"/>
    <n v="437.11"/>
  </r>
  <r>
    <s v="CUST014"/>
    <x v="26"/>
    <x v="2"/>
    <x v="3"/>
    <x v="132"/>
    <n v="8"/>
    <n v="0.1"/>
    <x v="91"/>
    <x v="7"/>
    <n v="268.97000000000003"/>
  </r>
  <r>
    <s v="CUST018"/>
    <x v="12"/>
    <x v="2"/>
    <x v="2"/>
    <x v="133"/>
    <n v="1"/>
    <n v="0"/>
    <x v="92"/>
    <x v="7"/>
    <n v="265.26"/>
  </r>
  <r>
    <s v="CUST001"/>
    <x v="11"/>
    <x v="0"/>
    <x v="2"/>
    <x v="134"/>
    <n v="19"/>
    <n v="0.2"/>
    <x v="93"/>
    <x v="7"/>
    <n v="178.91"/>
  </r>
  <r>
    <s v="CUST007"/>
    <x v="9"/>
    <x v="3"/>
    <x v="4"/>
    <x v="135"/>
    <n v="3"/>
    <n v="0.05"/>
    <x v="94"/>
    <x v="7"/>
    <n v="356.5"/>
  </r>
  <r>
    <s v="CUST015"/>
    <x v="26"/>
    <x v="0"/>
    <x v="3"/>
    <x v="136"/>
    <n v="4"/>
    <n v="0.2"/>
    <x v="95"/>
    <x v="8"/>
    <n v="229.65"/>
  </r>
  <r>
    <s v="CUST015"/>
    <x v="9"/>
    <x v="4"/>
    <x v="2"/>
    <x v="137"/>
    <n v="8"/>
    <n v="0.05"/>
    <x v="96"/>
    <x v="8"/>
    <n v="121.54"/>
  </r>
  <r>
    <s v="CUST002"/>
    <x v="21"/>
    <x v="2"/>
    <x v="3"/>
    <x v="138"/>
    <n v="19"/>
    <n v="0.05"/>
    <x v="97"/>
    <x v="8"/>
    <n v="268"/>
  </r>
  <r>
    <s v="CUST001"/>
    <x v="4"/>
    <x v="4"/>
    <x v="3"/>
    <x v="139"/>
    <n v="16"/>
    <n v="0.15"/>
    <x v="98"/>
    <x v="8"/>
    <n v="426.16"/>
  </r>
  <r>
    <s v="CUST027"/>
    <x v="5"/>
    <x v="4"/>
    <x v="2"/>
    <x v="140"/>
    <n v="10"/>
    <n v="0.15"/>
    <x v="98"/>
    <x v="8"/>
    <n v="316.32"/>
  </r>
  <r>
    <s v="CUST026"/>
    <x v="24"/>
    <x v="1"/>
    <x v="0"/>
    <x v="141"/>
    <n v="9"/>
    <n v="0"/>
    <x v="99"/>
    <x v="8"/>
    <n v="492.5"/>
  </r>
  <r>
    <s v="CUST026"/>
    <x v="11"/>
    <x v="0"/>
    <x v="2"/>
    <x v="142"/>
    <n v="19"/>
    <n v="0.2"/>
    <x v="100"/>
    <x v="8"/>
    <n v="232.33"/>
  </r>
  <r>
    <s v="CUST022"/>
    <x v="12"/>
    <x v="4"/>
    <x v="4"/>
    <x v="143"/>
    <n v="16"/>
    <n v="0.05"/>
    <x v="101"/>
    <x v="8"/>
    <n v="165.97"/>
  </r>
  <r>
    <s v="CUST004"/>
    <x v="6"/>
    <x v="3"/>
    <x v="1"/>
    <x v="144"/>
    <n v="6"/>
    <n v="0.15"/>
    <x v="102"/>
    <x v="8"/>
    <n v="675.5"/>
  </r>
  <r>
    <s v="CUST001"/>
    <x v="26"/>
    <x v="3"/>
    <x v="1"/>
    <x v="145"/>
    <n v="13"/>
    <n v="0.2"/>
    <x v="102"/>
    <x v="8"/>
    <n v="134.66"/>
  </r>
  <r>
    <s v="CUST022"/>
    <x v="3"/>
    <x v="0"/>
    <x v="0"/>
    <x v="146"/>
    <n v="14"/>
    <n v="0.1"/>
    <x v="103"/>
    <x v="8"/>
    <n v="487.36"/>
  </r>
  <r>
    <s v="CUST011"/>
    <x v="25"/>
    <x v="4"/>
    <x v="1"/>
    <x v="147"/>
    <n v="11"/>
    <n v="0.05"/>
    <x v="104"/>
    <x v="9"/>
    <n v="314.74"/>
  </r>
  <r>
    <s v="CUST028"/>
    <x v="14"/>
    <x v="3"/>
    <x v="4"/>
    <x v="148"/>
    <n v="1"/>
    <n v="0.2"/>
    <x v="104"/>
    <x v="9"/>
    <n v="111.39"/>
  </r>
  <r>
    <s v="CUST011"/>
    <x v="5"/>
    <x v="3"/>
    <x v="0"/>
    <x v="149"/>
    <n v="18"/>
    <n v="0.1"/>
    <x v="105"/>
    <x v="9"/>
    <n v="318.47000000000003"/>
  </r>
  <r>
    <s v="CUST028"/>
    <x v="3"/>
    <x v="4"/>
    <x v="4"/>
    <x v="150"/>
    <n v="10"/>
    <n v="0.1"/>
    <x v="106"/>
    <x v="9"/>
    <n v="301.75"/>
  </r>
  <r>
    <s v="CUST016"/>
    <x v="2"/>
    <x v="2"/>
    <x v="1"/>
    <x v="151"/>
    <n v="5"/>
    <n v="0.05"/>
    <x v="106"/>
    <x v="9"/>
    <n v="413.36"/>
  </r>
  <r>
    <s v="CUST010"/>
    <x v="5"/>
    <x v="0"/>
    <x v="3"/>
    <x v="152"/>
    <n v="18"/>
    <n v="0.05"/>
    <x v="107"/>
    <x v="9"/>
    <n v="286.68"/>
  </r>
  <r>
    <s v="CUST013"/>
    <x v="20"/>
    <x v="3"/>
    <x v="1"/>
    <x v="153"/>
    <n v="19"/>
    <n v="0.05"/>
    <x v="108"/>
    <x v="9"/>
    <n v="556.30999999999995"/>
  </r>
  <r>
    <s v="CUST015"/>
    <x v="1"/>
    <x v="2"/>
    <x v="3"/>
    <x v="154"/>
    <n v="11"/>
    <n v="0.1"/>
    <x v="109"/>
    <x v="9"/>
    <n v="332.19"/>
  </r>
  <r>
    <s v="CUST015"/>
    <x v="3"/>
    <x v="3"/>
    <x v="2"/>
    <x v="155"/>
    <n v="5"/>
    <n v="0.2"/>
    <x v="110"/>
    <x v="9"/>
    <n v="336.24"/>
  </r>
  <r>
    <s v="CUST015"/>
    <x v="8"/>
    <x v="0"/>
    <x v="1"/>
    <x v="156"/>
    <n v="9"/>
    <n v="0.05"/>
    <x v="111"/>
    <x v="9"/>
    <n v="180.39"/>
  </r>
  <r>
    <s v="CUST008"/>
    <x v="12"/>
    <x v="4"/>
    <x v="1"/>
    <x v="157"/>
    <n v="2"/>
    <n v="0.1"/>
    <x v="112"/>
    <x v="9"/>
    <n v="484.35"/>
  </r>
  <r>
    <s v="CUST008"/>
    <x v="6"/>
    <x v="4"/>
    <x v="4"/>
    <x v="158"/>
    <n v="7"/>
    <n v="0"/>
    <x v="112"/>
    <x v="9"/>
    <n v="562.82000000000005"/>
  </r>
  <r>
    <s v="CUST023"/>
    <x v="2"/>
    <x v="2"/>
    <x v="1"/>
    <x v="159"/>
    <n v="6"/>
    <n v="0.2"/>
    <x v="112"/>
    <x v="9"/>
    <n v="447.34"/>
  </r>
  <r>
    <s v="CUST024"/>
    <x v="17"/>
    <x v="3"/>
    <x v="1"/>
    <x v="160"/>
    <n v="12"/>
    <n v="0.2"/>
    <x v="113"/>
    <x v="9"/>
    <n v="649.04999999999995"/>
  </r>
  <r>
    <s v="CUST018"/>
    <x v="14"/>
    <x v="3"/>
    <x v="0"/>
    <x v="161"/>
    <n v="11"/>
    <n v="0.2"/>
    <x v="114"/>
    <x v="9"/>
    <n v="205"/>
  </r>
  <r>
    <s v="CUST030"/>
    <x v="11"/>
    <x v="0"/>
    <x v="1"/>
    <x v="162"/>
    <n v="17"/>
    <n v="0.1"/>
    <x v="115"/>
    <x v="9"/>
    <n v="263.32"/>
  </r>
  <r>
    <s v="CUST030"/>
    <x v="6"/>
    <x v="1"/>
    <x v="1"/>
    <x v="163"/>
    <n v="5"/>
    <n v="0.2"/>
    <x v="116"/>
    <x v="10"/>
    <n v="443.99"/>
  </r>
  <r>
    <s v="CUST015"/>
    <x v="12"/>
    <x v="1"/>
    <x v="0"/>
    <x v="164"/>
    <n v="9"/>
    <n v="0.1"/>
    <x v="117"/>
    <x v="10"/>
    <n v="395.31"/>
  </r>
  <r>
    <s v="CUST002"/>
    <x v="14"/>
    <x v="0"/>
    <x v="4"/>
    <x v="165"/>
    <n v="7"/>
    <n v="0.1"/>
    <x v="118"/>
    <x v="10"/>
    <n v="335.04"/>
  </r>
  <r>
    <s v="CUST024"/>
    <x v="5"/>
    <x v="4"/>
    <x v="1"/>
    <x v="166"/>
    <n v="16"/>
    <n v="0.1"/>
    <x v="119"/>
    <x v="10"/>
    <n v="333.85"/>
  </r>
  <r>
    <s v="CUST004"/>
    <x v="0"/>
    <x v="1"/>
    <x v="4"/>
    <x v="167"/>
    <n v="6"/>
    <n v="0.1"/>
    <x v="120"/>
    <x v="10"/>
    <n v="531.05999999999995"/>
  </r>
  <r>
    <s v="CUST004"/>
    <x v="6"/>
    <x v="2"/>
    <x v="4"/>
    <x v="168"/>
    <n v="19"/>
    <n v="0.1"/>
    <x v="121"/>
    <x v="10"/>
    <n v="232.19"/>
  </r>
  <r>
    <s v="CUST028"/>
    <x v="3"/>
    <x v="0"/>
    <x v="2"/>
    <x v="169"/>
    <n v="14"/>
    <n v="0.2"/>
    <x v="122"/>
    <x v="10"/>
    <n v="223.04"/>
  </r>
  <r>
    <s v="CUST012"/>
    <x v="12"/>
    <x v="3"/>
    <x v="1"/>
    <x v="170"/>
    <n v="4"/>
    <n v="0"/>
    <x v="123"/>
    <x v="10"/>
    <n v="422.92"/>
  </r>
  <r>
    <s v="CUST026"/>
    <x v="18"/>
    <x v="0"/>
    <x v="2"/>
    <x v="171"/>
    <n v="3"/>
    <n v="0"/>
    <x v="124"/>
    <x v="10"/>
    <n v="257.45"/>
  </r>
  <r>
    <s v="CUST009"/>
    <x v="6"/>
    <x v="3"/>
    <x v="0"/>
    <x v="172"/>
    <n v="2"/>
    <n v="0.2"/>
    <x v="125"/>
    <x v="10"/>
    <n v="380.75"/>
  </r>
  <r>
    <s v="CUST003"/>
    <x v="11"/>
    <x v="2"/>
    <x v="0"/>
    <x v="173"/>
    <n v="15"/>
    <n v="0.2"/>
    <x v="126"/>
    <x v="10"/>
    <n v="225.37"/>
  </r>
  <r>
    <s v="CUST002"/>
    <x v="13"/>
    <x v="4"/>
    <x v="4"/>
    <x v="174"/>
    <n v="12"/>
    <n v="0.2"/>
    <x v="126"/>
    <x v="10"/>
    <n v="582.55999999999995"/>
  </r>
  <r>
    <s v="CUST013"/>
    <x v="17"/>
    <x v="4"/>
    <x v="0"/>
    <x v="175"/>
    <n v="2"/>
    <n v="0.15"/>
    <x v="127"/>
    <x v="10"/>
    <n v="344.91"/>
  </r>
  <r>
    <s v="CUST018"/>
    <x v="6"/>
    <x v="4"/>
    <x v="1"/>
    <x v="176"/>
    <n v="18"/>
    <n v="0.2"/>
    <x v="128"/>
    <x v="10"/>
    <n v="330.79"/>
  </r>
  <r>
    <s v="CUST017"/>
    <x v="6"/>
    <x v="4"/>
    <x v="1"/>
    <x v="177"/>
    <n v="8"/>
    <n v="0.1"/>
    <x v="129"/>
    <x v="11"/>
    <n v="460"/>
  </r>
  <r>
    <s v="CUST004"/>
    <x v="5"/>
    <x v="1"/>
    <x v="0"/>
    <x v="178"/>
    <n v="6"/>
    <n v="0"/>
    <x v="130"/>
    <x v="11"/>
    <n v="439.88"/>
  </r>
  <r>
    <s v="CUST028"/>
    <x v="23"/>
    <x v="3"/>
    <x v="0"/>
    <x v="179"/>
    <n v="8"/>
    <n v="0.1"/>
    <x v="131"/>
    <x v="11"/>
    <n v="255.79"/>
  </r>
  <r>
    <s v="CUST028"/>
    <x v="20"/>
    <x v="3"/>
    <x v="0"/>
    <x v="180"/>
    <n v="15"/>
    <n v="0.2"/>
    <x v="132"/>
    <x v="11"/>
    <n v="159.74"/>
  </r>
  <r>
    <s v="CUST014"/>
    <x v="9"/>
    <x v="2"/>
    <x v="0"/>
    <x v="181"/>
    <n v="18"/>
    <n v="0.05"/>
    <x v="133"/>
    <x v="11"/>
    <n v="404.39"/>
  </r>
  <r>
    <s v="CUST003"/>
    <x v="9"/>
    <x v="1"/>
    <x v="4"/>
    <x v="182"/>
    <n v="18"/>
    <n v="0.05"/>
    <x v="134"/>
    <x v="11"/>
    <n v="187.57"/>
  </r>
  <r>
    <s v="CUST029"/>
    <x v="18"/>
    <x v="0"/>
    <x v="1"/>
    <x v="183"/>
    <n v="2"/>
    <n v="0.05"/>
    <x v="135"/>
    <x v="11"/>
    <n v="410.87"/>
  </r>
  <r>
    <s v="CUST021"/>
    <x v="18"/>
    <x v="0"/>
    <x v="3"/>
    <x v="184"/>
    <n v="14"/>
    <n v="0.2"/>
    <x v="136"/>
    <x v="11"/>
    <n v="275.77999999999997"/>
  </r>
  <r>
    <s v="CUST007"/>
    <x v="18"/>
    <x v="0"/>
    <x v="1"/>
    <x v="185"/>
    <n v="18"/>
    <n v="0"/>
    <x v="137"/>
    <x v="11"/>
    <n v="746.74"/>
  </r>
  <r>
    <s v="CUST009"/>
    <x v="17"/>
    <x v="2"/>
    <x v="1"/>
    <x v="186"/>
    <n v="9"/>
    <n v="0.1"/>
    <x v="138"/>
    <x v="11"/>
    <n v="310.24"/>
  </r>
  <r>
    <s v="CUST023"/>
    <x v="20"/>
    <x v="2"/>
    <x v="1"/>
    <x v="187"/>
    <n v="1"/>
    <n v="0"/>
    <x v="139"/>
    <x v="11"/>
    <n v="341.12"/>
  </r>
  <r>
    <s v="CUST029"/>
    <x v="4"/>
    <x v="3"/>
    <x v="2"/>
    <x v="188"/>
    <n v="15"/>
    <n v="0.2"/>
    <x v="140"/>
    <x v="11"/>
    <n v="91.71"/>
  </r>
  <r>
    <s v="CUST009"/>
    <x v="4"/>
    <x v="2"/>
    <x v="3"/>
    <x v="189"/>
    <n v="11"/>
    <n v="0.2"/>
    <x v="141"/>
    <x v="11"/>
    <n v="331.59"/>
  </r>
  <r>
    <s v="CUST007"/>
    <x v="0"/>
    <x v="2"/>
    <x v="1"/>
    <x v="190"/>
    <n v="9"/>
    <n v="0"/>
    <x v="142"/>
    <x v="11"/>
    <n v="381.07"/>
  </r>
  <r>
    <s v="CUST030"/>
    <x v="17"/>
    <x v="3"/>
    <x v="0"/>
    <x v="191"/>
    <n v="10"/>
    <n v="0.15"/>
    <x v="142"/>
    <x v="11"/>
    <n v="255.24"/>
  </r>
  <r>
    <s v="CUST018"/>
    <x v="26"/>
    <x v="4"/>
    <x v="1"/>
    <x v="192"/>
    <n v="14"/>
    <n v="0.05"/>
    <x v="143"/>
    <x v="11"/>
    <n v="692.05"/>
  </r>
  <r>
    <s v="CUST008"/>
    <x v="21"/>
    <x v="1"/>
    <x v="3"/>
    <x v="193"/>
    <n v="17"/>
    <n v="0.1"/>
    <x v="143"/>
    <x v="11"/>
    <n v="344.41"/>
  </r>
  <r>
    <s v="CUST014"/>
    <x v="11"/>
    <x v="0"/>
    <x v="1"/>
    <x v="194"/>
    <n v="8"/>
    <n v="0.15"/>
    <x v="144"/>
    <x v="11"/>
    <n v="397.06"/>
  </r>
  <r>
    <s v="CUST024"/>
    <x v="8"/>
    <x v="4"/>
    <x v="1"/>
    <x v="195"/>
    <n v="8"/>
    <n v="0.2"/>
    <x v="144"/>
    <x v="11"/>
    <n v="586.14"/>
  </r>
  <r>
    <s v="CUST028"/>
    <x v="1"/>
    <x v="2"/>
    <x v="4"/>
    <x v="196"/>
    <n v="3"/>
    <n v="0"/>
    <x v="145"/>
    <x v="0"/>
    <n v="333.36"/>
  </r>
  <r>
    <s v="CUST015"/>
    <x v="11"/>
    <x v="0"/>
    <x v="4"/>
    <x v="197"/>
    <n v="17"/>
    <n v="0"/>
    <x v="146"/>
    <x v="0"/>
    <n v="245.45"/>
  </r>
  <r>
    <s v="CUST010"/>
    <x v="8"/>
    <x v="1"/>
    <x v="0"/>
    <x v="198"/>
    <n v="8"/>
    <n v="0.05"/>
    <x v="146"/>
    <x v="0"/>
    <n v="379.09"/>
  </r>
  <r>
    <s v="CUST016"/>
    <x v="8"/>
    <x v="2"/>
    <x v="1"/>
    <x v="199"/>
    <n v="2"/>
    <n v="0.05"/>
    <x v="147"/>
    <x v="0"/>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7AF42-4976-4D24-822F-55ECD8D56EEF}"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9" firstHeaderRow="1" firstDataRow="1" firstDataCol="1"/>
  <pivotFields count="13">
    <pivotField showAll="0"/>
    <pivotField showAll="0"/>
    <pivotField showAll="0"/>
    <pivotField showAll="0"/>
    <pivotField dataField="1" numFmtId="164"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axis="axisRow"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sortType="ascending">
      <items count="25">
        <item x="9"/>
        <item x="10"/>
        <item x="11"/>
        <item x="0"/>
        <item x="1"/>
        <item x="2"/>
        <item x="3"/>
        <item x="4"/>
        <item x="5"/>
        <item x="6"/>
        <item x="7"/>
        <item x="8"/>
        <item m="1" x="21"/>
        <item m="1" x="22"/>
        <item m="1" x="23"/>
        <item m="1" x="12"/>
        <item m="1" x="13"/>
        <item m="1" x="14"/>
        <item m="1" x="15"/>
        <item m="1" x="16"/>
        <item m="1" x="17"/>
        <item m="1" x="18"/>
        <item m="1" x="19"/>
        <item m="1" x="20"/>
        <item t="default"/>
      </items>
    </pivotField>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2"/>
    <field x="10"/>
    <field x="7"/>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2" id="{F7045CAA-9814-405C-BAE9-EE254C00D4C7}">
            <x14:pivotAreas count="13">
              <pivotArea type="data" collapsedLevelsAreSubtotals="1" fieldPosition="0">
                <references count="3">
                  <reference field="4294967294" count="1" selected="0">
                    <x v="0"/>
                  </reference>
                  <reference field="10" count="1">
                    <x v="4"/>
                  </reference>
                  <reference field="12" count="1" selected="0">
                    <x v="1"/>
                  </reference>
                </references>
              </pivotArea>
              <pivotArea type="data" collapsedLevelsAreSubtotals="1" fieldPosition="0">
                <references count="3">
                  <reference field="4294967294" count="1" selected="0">
                    <x v="0"/>
                  </reference>
                  <reference field="10" count="1">
                    <x v="5"/>
                  </reference>
                  <reference field="12" count="1" selected="0">
                    <x v="1"/>
                  </reference>
                </references>
              </pivotArea>
              <pivotArea type="data" collapsedLevelsAreSubtotals="1" fieldPosition="0">
                <references count="3">
                  <reference field="4294967294" count="1" selected="0">
                    <x v="0"/>
                  </reference>
                  <reference field="10" count="1">
                    <x v="6"/>
                  </reference>
                  <reference field="12" count="1" selected="0">
                    <x v="1"/>
                  </reference>
                </references>
              </pivotArea>
              <pivotArea type="data" collapsedLevelsAreSubtotals="1" fieldPosition="0">
                <references count="3">
                  <reference field="4294967294" count="1" selected="0">
                    <x v="0"/>
                  </reference>
                  <reference field="10" count="1">
                    <x v="7"/>
                  </reference>
                  <reference field="12" count="1" selected="0">
                    <x v="1"/>
                  </reference>
                </references>
              </pivotArea>
              <pivotArea type="data" collapsedLevelsAreSubtotals="1" fieldPosition="0">
                <references count="3">
                  <reference field="4294967294" count="1" selected="0">
                    <x v="0"/>
                  </reference>
                  <reference field="10" count="1">
                    <x v="8"/>
                  </reference>
                  <reference field="12" count="1" selected="0">
                    <x v="1"/>
                  </reference>
                </references>
              </pivotArea>
              <pivotArea type="data" collapsedLevelsAreSubtotals="1" fieldPosition="0">
                <references count="3">
                  <reference field="4294967294" count="1" selected="0">
                    <x v="0"/>
                  </reference>
                  <reference field="10" count="1">
                    <x v="9"/>
                  </reference>
                  <reference field="12" count="1" selected="0">
                    <x v="1"/>
                  </reference>
                </references>
              </pivotArea>
              <pivotArea type="data" collapsedLevelsAreSubtotals="1" fieldPosition="0">
                <references count="3">
                  <reference field="4294967294" count="1" selected="0">
                    <x v="0"/>
                  </reference>
                  <reference field="10" count="1">
                    <x v="10"/>
                  </reference>
                  <reference field="12" count="1" selected="0">
                    <x v="1"/>
                  </reference>
                </references>
              </pivotArea>
              <pivotArea type="data" collapsedLevelsAreSubtotals="1" fieldPosition="0">
                <references count="3">
                  <reference field="4294967294" count="1" selected="0">
                    <x v="0"/>
                  </reference>
                  <reference field="10" count="1">
                    <x v="11"/>
                  </reference>
                  <reference field="12" count="1" selected="0">
                    <x v="1"/>
                  </reference>
                </references>
              </pivotArea>
              <pivotArea type="data" collapsedLevelsAreSubtotals="1" fieldPosition="0">
                <references count="3">
                  <reference field="4294967294" count="1" selected="0">
                    <x v="0"/>
                  </reference>
                  <reference field="10" count="1">
                    <x v="12"/>
                  </reference>
                  <reference field="12" count="1" selected="0">
                    <x v="1"/>
                  </reference>
                </references>
              </pivotArea>
              <pivotArea type="data" collapsedLevelsAreSubtotals="1" fieldPosition="0">
                <references count="3">
                  <reference field="4294967294" count="1" selected="0">
                    <x v="0"/>
                  </reference>
                  <reference field="10" count="1">
                    <x v="2"/>
                  </reference>
                  <reference field="12" count="1" selected="0">
                    <x v="2"/>
                  </reference>
                </references>
              </pivotArea>
              <pivotArea type="data" collapsedLevelsAreSubtotals="1" fieldPosition="0">
                <references count="3">
                  <reference field="4294967294" count="1" selected="0">
                    <x v="0"/>
                  </reference>
                  <reference field="10" count="1">
                    <x v="3"/>
                  </reference>
                  <reference field="12" count="1" selected="0">
                    <x v="2"/>
                  </reference>
                </references>
              </pivotArea>
              <pivotArea type="data" collapsedLevelsAreSubtotals="1" fieldPosition="0">
                <references count="3">
                  <reference field="4294967294" count="1" selected="0">
                    <x v="0"/>
                  </reference>
                  <reference field="10" count="1">
                    <x v="1"/>
                  </reference>
                  <reference field="12" count="1" selected="0">
                    <x v="2"/>
                  </reference>
                </references>
              </pivotArea>
              <pivotArea type="data" collapsedLevelsAreSubtotals="1" fieldPosition="0">
                <references count="3">
                  <reference field="4294967294" count="1" selected="0">
                    <x v="0"/>
                  </reference>
                  <reference field="10" count="1">
                    <x v="4"/>
                  </reference>
                  <reference field="12" count="1" selected="0">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FF3F4-BAAA-418F-8442-DF9D0B642349}" name="High_priority_customer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rowHeaderCaption="Name ">
  <location ref="A1:B28" firstHeaderRow="1" firstDataRow="1" firstDataCol="1"/>
  <pivotFields count="13">
    <pivotField showAll="0"/>
    <pivotField axis="axisRow" showAll="0" sortType="descending">
      <items count="28">
        <item x="26"/>
        <item x="18"/>
        <item x="19"/>
        <item x="10"/>
        <item x="8"/>
        <item x="9"/>
        <item x="24"/>
        <item x="21"/>
        <item x="0"/>
        <item x="2"/>
        <item x="3"/>
        <item x="16"/>
        <item x="15"/>
        <item x="22"/>
        <item x="7"/>
        <item x="25"/>
        <item x="17"/>
        <item x="5"/>
        <item x="14"/>
        <item x="12"/>
        <item x="6"/>
        <item x="13"/>
        <item x="20"/>
        <item x="4"/>
        <item x="1"/>
        <item x="11"/>
        <item x="23"/>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sortType="ascending">
      <items count="25">
        <item x="9"/>
        <item x="10"/>
        <item x="11"/>
        <item x="0"/>
        <item x="1"/>
        <item x="2"/>
        <item x="3"/>
        <item x="4"/>
        <item x="5"/>
        <item x="6"/>
        <item x="7"/>
        <item x="8"/>
        <item m="1" x="21"/>
        <item m="1" x="22"/>
        <item m="1" x="23"/>
        <item m="1" x="12"/>
        <item m="1" x="13"/>
        <item m="1" x="14"/>
        <item m="1" x="15"/>
        <item m="1" x="16"/>
        <item m="1" x="17"/>
        <item m="1" x="18"/>
        <item m="1" x="19"/>
        <item m="1" x="20"/>
        <item t="default"/>
      </items>
    </pivotField>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1">
    <field x="1"/>
  </rowFields>
  <rowItems count="27">
    <i>
      <x v="10"/>
    </i>
    <i>
      <x v="20"/>
    </i>
    <i>
      <x v="1"/>
    </i>
    <i>
      <x v="5"/>
    </i>
    <i>
      <x v="17"/>
    </i>
    <i>
      <x v="19"/>
    </i>
    <i>
      <x v="7"/>
    </i>
    <i>
      <x v="24"/>
    </i>
    <i>
      <x v="18"/>
    </i>
    <i>
      <x v="23"/>
    </i>
    <i>
      <x v="16"/>
    </i>
    <i>
      <x v="25"/>
    </i>
    <i>
      <x v="21"/>
    </i>
    <i>
      <x v="4"/>
    </i>
    <i>
      <x v="8"/>
    </i>
    <i>
      <x v="12"/>
    </i>
    <i>
      <x v="26"/>
    </i>
    <i>
      <x v="9"/>
    </i>
    <i>
      <x/>
    </i>
    <i>
      <x v="22"/>
    </i>
    <i>
      <x v="6"/>
    </i>
    <i>
      <x v="14"/>
    </i>
    <i>
      <x v="2"/>
    </i>
    <i>
      <x v="15"/>
    </i>
    <i>
      <x v="3"/>
    </i>
    <i>
      <x v="11"/>
    </i>
    <i>
      <x v="13"/>
    </i>
  </rowItems>
  <colItems count="1">
    <i/>
  </colItems>
  <dataFields count="1">
    <dataField name="Bought" fld="4" baseField="1" baseItem="0" numFmtId="164"/>
  </dataFields>
  <formats count="22">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outline="0" axis="axisValues" fieldPosition="0"/>
    </format>
  </format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3FA5A-B636-43CE-9612-2EEFF84D1C62}" name="PivotTable4" cacheId="3" applyNumberFormats="0" applyBorderFormats="0" applyFontFormats="0" applyPatternFormats="0" applyAlignmentFormats="0" applyWidthHeightFormats="1" dataCaption="Values" updatedVersion="8" minRefreshableVersion="5" useAutoFormatting="1" itemPrintTitles="1" createdVersion="8" indent="0" showHeaders="0" compact="0" compactData="0" multipleFieldFilters="0" chartFormat="14" rowHeaderCaption="Name ">
  <location ref="A1:G8" firstHeaderRow="1" firstDataRow="2" firstDataCol="1"/>
  <pivotFields count="13">
    <pivotField compact="0" outline="0" showAll="0" defaultSubtotal="0"/>
    <pivotField compact="0" outline="0" showAll="0" defaultSubtotal="0">
      <items count="27">
        <item x="26"/>
        <item x="18"/>
        <item x="19"/>
        <item x="10"/>
        <item x="8"/>
        <item x="9"/>
        <item x="24"/>
        <item x="21"/>
        <item x="0"/>
        <item x="2"/>
        <item x="3"/>
        <item x="16"/>
        <item x="15"/>
        <item x="22"/>
        <item x="7"/>
        <item x="25"/>
        <item x="17"/>
        <item x="5"/>
        <item x="14"/>
        <item x="12"/>
        <item x="6"/>
        <item x="13"/>
        <item x="20"/>
        <item x="4"/>
        <item x="1"/>
        <item x="11"/>
        <item x="23"/>
      </items>
    </pivotField>
    <pivotField axis="axisCol" compact="0" outline="0" showAll="0" defaultSubtotal="0">
      <items count="5">
        <item x="4"/>
        <item x="1"/>
        <item x="3"/>
        <item x="2"/>
        <item x="0"/>
      </items>
    </pivotField>
    <pivotField axis="axisRow" compact="0" outline="0" showAll="0" defaultSubtotal="0">
      <items count="5">
        <item x="0"/>
        <item x="1"/>
        <item x="2"/>
        <item x="3"/>
        <item x="4"/>
      </items>
    </pivotField>
    <pivotField dataField="1" compact="0" numFmtId="164" outline="0" showAll="0" defaultSubtotal="0">
      <items count="200">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s>
    </pivotField>
    <pivotField compact="0" outline="0" showAll="0" defaultSubtotal="0"/>
    <pivotField compact="0" outline="0" showAll="0" defaultSubtotal="0"/>
    <pivotField compact="0" numFmtId="14" outline="0" showAll="0" defaultSubtota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s>
    </pivotField>
    <pivotField compact="0" outline="0" showAll="0" sortType="ascending" defaultSubtotal="0">
      <items count="24">
        <item x="9"/>
        <item x="10"/>
        <item x="11"/>
        <item x="0"/>
        <item x="1"/>
        <item x="2"/>
        <item x="3"/>
        <item x="4"/>
        <item x="5"/>
        <item x="6"/>
        <item x="7"/>
        <item x="8"/>
        <item m="1" x="21"/>
        <item m="1" x="22"/>
        <item m="1" x="23"/>
        <item m="1" x="12"/>
        <item m="1" x="13"/>
        <item m="1" x="14"/>
        <item m="1" x="15"/>
        <item m="1" x="16"/>
        <item m="1" x="17"/>
        <item m="1" x="18"/>
        <item m="1" x="19"/>
        <item m="1" x="20"/>
      </items>
    </pivotField>
    <pivotField compact="0" numFmtId="164"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sd="0" x="0"/>
        <item x="1"/>
        <item x="2"/>
        <item sd="0" x="3"/>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es" fld="4" baseField="0" baseItem="0" numFmtId="164"/>
  </dataFields>
  <formats count="18">
    <format dxfId="4">
      <pivotArea type="all" dataOnly="0" outline="0" fieldPosition="0"/>
    </format>
    <format dxfId="5">
      <pivotArea outline="0" collapsedLevelsAreSubtotals="1" fieldPosition="0"/>
    </format>
    <format dxfId="6">
      <pivotArea field="1" type="button" dataOnly="0" labelOnly="1" outline="0"/>
    </format>
    <format dxfId="7">
      <pivotArea dataOnly="0" labelOnly="1" grandRow="1" outline="0" fieldPosition="0"/>
    </format>
    <format dxfId="8">
      <pivotArea dataOnly="0" labelOnly="1" outline="0" axis="axisValues" fieldPosition="0"/>
    </format>
    <format dxfId="9">
      <pivotArea type="all" dataOnly="0" outline="0" fieldPosition="0"/>
    </format>
    <format dxfId="10">
      <pivotArea outline="0" collapsedLevelsAreSubtotals="1" fieldPosition="0"/>
    </format>
    <format dxfId="11">
      <pivotArea field="1" type="button" dataOnly="0" labelOnly="1" outline="0"/>
    </format>
    <format dxfId="12">
      <pivotArea dataOnly="0" labelOnly="1" grandRow="1" outline="0" fieldPosition="0"/>
    </format>
    <format dxfId="13">
      <pivotArea dataOnly="0" labelOnly="1" outline="0" axis="axisValues" fieldPosition="0"/>
    </format>
    <format dxfId="14">
      <pivotArea type="all" dataOnly="0" outline="0" fieldPosition="0"/>
    </format>
    <format dxfId="15">
      <pivotArea outline="0" collapsedLevelsAreSubtotals="1" fieldPosition="0"/>
    </format>
    <format dxfId="16">
      <pivotArea field="1" type="button" dataOnly="0" labelOnly="1" outline="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field="1" type="button" dataOnly="0" labelOnly="1" outline="0"/>
    </format>
    <format dxfId="21">
      <pivotArea dataOnly="0" labelOnly="1" outline="0" axis="axisValues" fieldPosition="0"/>
    </format>
  </formats>
  <chartFormats count="40">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 chart="13" format="35" series="1">
      <pivotArea type="data" outline="0" fieldPosition="0">
        <references count="2">
          <reference field="4294967294" count="1" selected="0">
            <x v="0"/>
          </reference>
          <reference field="2" count="1" selected="0">
            <x v="0"/>
          </reference>
        </references>
      </pivotArea>
    </chartFormat>
    <chartFormat chart="13" format="36">
      <pivotArea type="data" outline="0" fieldPosition="0">
        <references count="3">
          <reference field="4294967294" count="1" selected="0">
            <x v="0"/>
          </reference>
          <reference field="2" count="1" selected="0">
            <x v="0"/>
          </reference>
          <reference field="3" count="1" selected="0">
            <x v="0"/>
          </reference>
        </references>
      </pivotArea>
    </chartFormat>
    <chartFormat chart="13" format="37">
      <pivotArea type="data" outline="0" fieldPosition="0">
        <references count="3">
          <reference field="4294967294" count="1" selected="0">
            <x v="0"/>
          </reference>
          <reference field="2" count="1" selected="0">
            <x v="0"/>
          </reference>
          <reference field="3" count="1" selected="0">
            <x v="1"/>
          </reference>
        </references>
      </pivotArea>
    </chartFormat>
    <chartFormat chart="13" format="38">
      <pivotArea type="data" outline="0" fieldPosition="0">
        <references count="3">
          <reference field="4294967294" count="1" selected="0">
            <x v="0"/>
          </reference>
          <reference field="2" count="1" selected="0">
            <x v="0"/>
          </reference>
          <reference field="3" count="1" selected="0">
            <x v="2"/>
          </reference>
        </references>
      </pivotArea>
    </chartFormat>
    <chartFormat chart="13" format="39">
      <pivotArea type="data" outline="0" fieldPosition="0">
        <references count="3">
          <reference field="4294967294" count="1" selected="0">
            <x v="0"/>
          </reference>
          <reference field="2" count="1" selected="0">
            <x v="0"/>
          </reference>
          <reference field="3" count="1" selected="0">
            <x v="3"/>
          </reference>
        </references>
      </pivotArea>
    </chartFormat>
    <chartFormat chart="13" format="40">
      <pivotArea type="data" outline="0" fieldPosition="0">
        <references count="3">
          <reference field="4294967294" count="1" selected="0">
            <x v="0"/>
          </reference>
          <reference field="2" count="1" selected="0">
            <x v="0"/>
          </reference>
          <reference field="3" count="1" selected="0">
            <x v="4"/>
          </reference>
        </references>
      </pivotArea>
    </chartFormat>
    <chartFormat chart="13" format="41" series="1">
      <pivotArea type="data" outline="0" fieldPosition="0">
        <references count="2">
          <reference field="4294967294" count="1" selected="0">
            <x v="0"/>
          </reference>
          <reference field="2" count="1" selected="0">
            <x v="1"/>
          </reference>
        </references>
      </pivotArea>
    </chartFormat>
    <chartFormat chart="13" format="42">
      <pivotArea type="data" outline="0" fieldPosition="0">
        <references count="3">
          <reference field="4294967294" count="1" selected="0">
            <x v="0"/>
          </reference>
          <reference field="2" count="1" selected="0">
            <x v="1"/>
          </reference>
          <reference field="3" count="1" selected="0">
            <x v="0"/>
          </reference>
        </references>
      </pivotArea>
    </chartFormat>
    <chartFormat chart="13" format="43">
      <pivotArea type="data" outline="0" fieldPosition="0">
        <references count="3">
          <reference field="4294967294" count="1" selected="0">
            <x v="0"/>
          </reference>
          <reference field="2" count="1" selected="0">
            <x v="1"/>
          </reference>
          <reference field="3" count="1" selected="0">
            <x v="1"/>
          </reference>
        </references>
      </pivotArea>
    </chartFormat>
    <chartFormat chart="13" format="44">
      <pivotArea type="data" outline="0" fieldPosition="0">
        <references count="3">
          <reference field="4294967294" count="1" selected="0">
            <x v="0"/>
          </reference>
          <reference field="2" count="1" selected="0">
            <x v="1"/>
          </reference>
          <reference field="3" count="1" selected="0">
            <x v="2"/>
          </reference>
        </references>
      </pivotArea>
    </chartFormat>
    <chartFormat chart="13" format="45">
      <pivotArea type="data" outline="0" fieldPosition="0">
        <references count="3">
          <reference field="4294967294" count="1" selected="0">
            <x v="0"/>
          </reference>
          <reference field="2" count="1" selected="0">
            <x v="1"/>
          </reference>
          <reference field="3" count="1" selected="0">
            <x v="3"/>
          </reference>
        </references>
      </pivotArea>
    </chartFormat>
    <chartFormat chart="13" format="46">
      <pivotArea type="data" outline="0" fieldPosition="0">
        <references count="3">
          <reference field="4294967294" count="1" selected="0">
            <x v="0"/>
          </reference>
          <reference field="2" count="1" selected="0">
            <x v="1"/>
          </reference>
          <reference field="3" count="1" selected="0">
            <x v="4"/>
          </reference>
        </references>
      </pivotArea>
    </chartFormat>
    <chartFormat chart="13" format="47" series="1">
      <pivotArea type="data" outline="0" fieldPosition="0">
        <references count="2">
          <reference field="4294967294" count="1" selected="0">
            <x v="0"/>
          </reference>
          <reference field="2" count="1" selected="0">
            <x v="2"/>
          </reference>
        </references>
      </pivotArea>
    </chartFormat>
    <chartFormat chart="13" format="48">
      <pivotArea type="data" outline="0" fieldPosition="0">
        <references count="3">
          <reference field="4294967294" count="1" selected="0">
            <x v="0"/>
          </reference>
          <reference field="2" count="1" selected="0">
            <x v="2"/>
          </reference>
          <reference field="3" count="1" selected="0">
            <x v="0"/>
          </reference>
        </references>
      </pivotArea>
    </chartFormat>
    <chartFormat chart="13" format="49">
      <pivotArea type="data" outline="0" fieldPosition="0">
        <references count="3">
          <reference field="4294967294" count="1" selected="0">
            <x v="0"/>
          </reference>
          <reference field="2" count="1" selected="0">
            <x v="2"/>
          </reference>
          <reference field="3" count="1" selected="0">
            <x v="1"/>
          </reference>
        </references>
      </pivotArea>
    </chartFormat>
    <chartFormat chart="13" format="50">
      <pivotArea type="data" outline="0" fieldPosition="0">
        <references count="3">
          <reference field="4294967294" count="1" selected="0">
            <x v="0"/>
          </reference>
          <reference field="2" count="1" selected="0">
            <x v="2"/>
          </reference>
          <reference field="3" count="1" selected="0">
            <x v="2"/>
          </reference>
        </references>
      </pivotArea>
    </chartFormat>
    <chartFormat chart="13" format="51">
      <pivotArea type="data" outline="0" fieldPosition="0">
        <references count="3">
          <reference field="4294967294" count="1" selected="0">
            <x v="0"/>
          </reference>
          <reference field="2" count="1" selected="0">
            <x v="2"/>
          </reference>
          <reference field="3" count="1" selected="0">
            <x v="3"/>
          </reference>
        </references>
      </pivotArea>
    </chartFormat>
    <chartFormat chart="13" format="52">
      <pivotArea type="data" outline="0" fieldPosition="0">
        <references count="3">
          <reference field="4294967294" count="1" selected="0">
            <x v="0"/>
          </reference>
          <reference field="2" count="1" selected="0">
            <x v="2"/>
          </reference>
          <reference field="3" count="1" selected="0">
            <x v="4"/>
          </reference>
        </references>
      </pivotArea>
    </chartFormat>
    <chartFormat chart="13" format="53" series="1">
      <pivotArea type="data" outline="0" fieldPosition="0">
        <references count="2">
          <reference field="4294967294" count="1" selected="0">
            <x v="0"/>
          </reference>
          <reference field="2" count="1" selected="0">
            <x v="3"/>
          </reference>
        </references>
      </pivotArea>
    </chartFormat>
    <chartFormat chart="13" format="54">
      <pivotArea type="data" outline="0" fieldPosition="0">
        <references count="3">
          <reference field="4294967294" count="1" selected="0">
            <x v="0"/>
          </reference>
          <reference field="2" count="1" selected="0">
            <x v="3"/>
          </reference>
          <reference field="3" count="1" selected="0">
            <x v="0"/>
          </reference>
        </references>
      </pivotArea>
    </chartFormat>
    <chartFormat chart="13" format="55">
      <pivotArea type="data" outline="0" fieldPosition="0">
        <references count="3">
          <reference field="4294967294" count="1" selected="0">
            <x v="0"/>
          </reference>
          <reference field="2" count="1" selected="0">
            <x v="3"/>
          </reference>
          <reference field="3" count="1" selected="0">
            <x v="1"/>
          </reference>
        </references>
      </pivotArea>
    </chartFormat>
    <chartFormat chart="13" format="56">
      <pivotArea type="data" outline="0" fieldPosition="0">
        <references count="3">
          <reference field="4294967294" count="1" selected="0">
            <x v="0"/>
          </reference>
          <reference field="2" count="1" selected="0">
            <x v="3"/>
          </reference>
          <reference field="3" count="1" selected="0">
            <x v="2"/>
          </reference>
        </references>
      </pivotArea>
    </chartFormat>
    <chartFormat chart="13" format="57">
      <pivotArea type="data" outline="0" fieldPosition="0">
        <references count="3">
          <reference field="4294967294" count="1" selected="0">
            <x v="0"/>
          </reference>
          <reference field="2" count="1" selected="0">
            <x v="3"/>
          </reference>
          <reference field="3" count="1" selected="0">
            <x v="3"/>
          </reference>
        </references>
      </pivotArea>
    </chartFormat>
    <chartFormat chart="13" format="58">
      <pivotArea type="data" outline="0" fieldPosition="0">
        <references count="3">
          <reference field="4294967294" count="1" selected="0">
            <x v="0"/>
          </reference>
          <reference field="2" count="1" selected="0">
            <x v="3"/>
          </reference>
          <reference field="3" count="1" selected="0">
            <x v="4"/>
          </reference>
        </references>
      </pivotArea>
    </chartFormat>
    <chartFormat chart="13" format="59" series="1">
      <pivotArea type="data" outline="0" fieldPosition="0">
        <references count="2">
          <reference field="4294967294" count="1" selected="0">
            <x v="0"/>
          </reference>
          <reference field="2" count="1" selected="0">
            <x v="4"/>
          </reference>
        </references>
      </pivotArea>
    </chartFormat>
    <chartFormat chart="13" format="60">
      <pivotArea type="data" outline="0" fieldPosition="0">
        <references count="3">
          <reference field="4294967294" count="1" selected="0">
            <x v="0"/>
          </reference>
          <reference field="2" count="1" selected="0">
            <x v="4"/>
          </reference>
          <reference field="3" count="1" selected="0">
            <x v="0"/>
          </reference>
        </references>
      </pivotArea>
    </chartFormat>
    <chartFormat chart="13" format="61">
      <pivotArea type="data" outline="0" fieldPosition="0">
        <references count="3">
          <reference field="4294967294" count="1" selected="0">
            <x v="0"/>
          </reference>
          <reference field="2" count="1" selected="0">
            <x v="4"/>
          </reference>
          <reference field="3" count="1" selected="0">
            <x v="1"/>
          </reference>
        </references>
      </pivotArea>
    </chartFormat>
    <chartFormat chart="13" format="62">
      <pivotArea type="data" outline="0" fieldPosition="0">
        <references count="3">
          <reference field="4294967294" count="1" selected="0">
            <x v="0"/>
          </reference>
          <reference field="2" count="1" selected="0">
            <x v="4"/>
          </reference>
          <reference field="3" count="1" selected="0">
            <x v="2"/>
          </reference>
        </references>
      </pivotArea>
    </chartFormat>
    <chartFormat chart="13" format="63">
      <pivotArea type="data" outline="0" fieldPosition="0">
        <references count="3">
          <reference field="4294967294" count="1" selected="0">
            <x v="0"/>
          </reference>
          <reference field="2" count="1" selected="0">
            <x v="4"/>
          </reference>
          <reference field="3" count="1" selected="0">
            <x v="3"/>
          </reference>
        </references>
      </pivotArea>
    </chartFormat>
    <chartFormat chart="13" format="64">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35AA46-DC92-43A1-9705-9D4FBEA0FCCA}" sourceName="Region">
  <pivotTables>
    <pivotTable tabId="7" name="PivotTable4"/>
  </pivotTables>
  <data>
    <tabular pivotCacheId="645607645">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C16705-E397-47BD-ADFE-A0A18E447871}" cache="Slicer_Region" caption="Region"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2C2402F-A273-41EB-ADCE-6127069667FD}" sourceName="Order_Date">
  <pivotTables>
    <pivotTable tabId="3" name="PivotTable1"/>
    <pivotTable tabId="6" name="High_priority_customers"/>
    <pivotTable tabId="7" name="PivotTable4"/>
  </pivotTables>
  <state minimalRefreshVersion="6" lastRefreshVersion="6" pivotCacheId="645607645"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240C00C-4902-41B5-AFBD-E9D400B34440}" cache="NativeTimeline_Order_Date" caption="Order_Date" level="0" selectionLevel="0" scrollPosition="202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8087-D364-4B53-826E-A0420833E207}">
  <dimension ref="A3:D19"/>
  <sheetViews>
    <sheetView workbookViewId="0">
      <selection activeCell="K1" sqref="K1:L29"/>
    </sheetView>
  </sheetViews>
  <sheetFormatPr defaultRowHeight="15" x14ac:dyDescent="0.25"/>
  <cols>
    <col min="1" max="1" width="13.140625" bestFit="1" customWidth="1"/>
    <col min="2" max="2" width="13.5703125" bestFit="1" customWidth="1"/>
    <col min="3" max="3" width="9.5703125" bestFit="1" customWidth="1"/>
    <col min="4" max="10" width="8.7109375" bestFit="1" customWidth="1"/>
    <col min="11" max="11" width="17.28515625" bestFit="1" customWidth="1"/>
    <col min="12" max="12" width="12.85546875" bestFit="1" customWidth="1"/>
    <col min="13" max="13" width="17.28515625" bestFit="1" customWidth="1"/>
    <col min="14" max="14" width="12.85546875" bestFit="1" customWidth="1"/>
    <col min="15" max="15" width="8.7109375" bestFit="1" customWidth="1"/>
    <col min="16" max="16" width="17.28515625" bestFit="1" customWidth="1"/>
    <col min="17" max="17" width="12.85546875" bestFit="1" customWidth="1"/>
    <col min="18" max="77" width="8.7109375" bestFit="1" customWidth="1"/>
    <col min="78" max="148" width="10.28515625" bestFit="1" customWidth="1"/>
    <col min="149" max="149" width="12.42578125" bestFit="1" customWidth="1"/>
  </cols>
  <sheetData>
    <row r="3" spans="1:4" x14ac:dyDescent="0.25">
      <c r="A3" s="15" t="s">
        <v>104</v>
      </c>
      <c r="B3" t="s">
        <v>105</v>
      </c>
      <c r="D3" s="10" t="s">
        <v>106</v>
      </c>
    </row>
    <row r="4" spans="1:4" x14ac:dyDescent="0.25">
      <c r="A4" s="16" t="s">
        <v>113</v>
      </c>
      <c r="B4" s="9">
        <v>145429.36000000002</v>
      </c>
      <c r="D4" s="10"/>
    </row>
    <row r="5" spans="1:4" x14ac:dyDescent="0.25">
      <c r="A5" s="25" t="s">
        <v>115</v>
      </c>
      <c r="B5" s="9">
        <v>19029.96</v>
      </c>
      <c r="C5" t="s">
        <v>126</v>
      </c>
      <c r="D5" s="23" t="str" cm="1">
        <f t="array" ref="D5">IF(C5="-","--",_xlfn.IFS(C5&lt;0,"⬇️",C5&gt;0,"⬆️",C5=0,"No Change"))</f>
        <v>--</v>
      </c>
    </row>
    <row r="6" spans="1:4" x14ac:dyDescent="0.25">
      <c r="A6" s="25" t="s">
        <v>107</v>
      </c>
      <c r="B6" s="9">
        <v>18507.339999999997</v>
      </c>
      <c r="C6" s="26">
        <f>B6-B5</f>
        <v>-522.62000000000262</v>
      </c>
      <c r="D6" s="23" t="str" cm="1">
        <f t="array" ref="D6">IF(C6="-","--",_xlfn.IFS(C6&lt;0,"⬇️",C6&gt;0,"⬆️",C6=0,"No Change"))</f>
        <v>⬇️</v>
      </c>
    </row>
    <row r="7" spans="1:4" x14ac:dyDescent="0.25">
      <c r="A7" s="25" t="s">
        <v>116</v>
      </c>
      <c r="B7" s="9">
        <v>20187.509999999998</v>
      </c>
      <c r="C7" s="26">
        <f t="shared" ref="C7:C18" si="0">B7-B6</f>
        <v>1680.1700000000019</v>
      </c>
      <c r="D7" s="23" t="str" cm="1">
        <f t="array" ref="D7">IF(C7="-","--",_xlfn.IFS(C7&lt;0,"⬇️",C7&gt;0,"⬆️",C7=0,"No Change"))</f>
        <v>⬆️</v>
      </c>
    </row>
    <row r="8" spans="1:4" x14ac:dyDescent="0.25">
      <c r="A8" s="25" t="s">
        <v>117</v>
      </c>
      <c r="B8" s="9">
        <v>11609.039999999999</v>
      </c>
      <c r="C8" s="26">
        <f t="shared" si="0"/>
        <v>-8578.4699999999993</v>
      </c>
      <c r="D8" s="23" t="str" cm="1">
        <f t="array" ref="D8">IF(C8="-","--",_xlfn.IFS(C8&lt;0,"⬇️",C8&gt;0,"⬆️",C8=0,"No Change"))</f>
        <v>⬇️</v>
      </c>
    </row>
    <row r="9" spans="1:4" x14ac:dyDescent="0.25">
      <c r="A9" s="25" t="s">
        <v>118</v>
      </c>
      <c r="B9" s="9">
        <v>10091.699999999999</v>
      </c>
      <c r="C9" s="26">
        <f t="shared" si="0"/>
        <v>-1517.3400000000001</v>
      </c>
      <c r="D9" s="23" t="str" cm="1">
        <f t="array" ref="D9">IF(C9="-","--",_xlfn.IFS(C9&lt;0,"⬇️",C9&gt;0,"⬆️",C9=0,"No Change"))</f>
        <v>⬇️</v>
      </c>
    </row>
    <row r="10" spans="1:4" x14ac:dyDescent="0.25">
      <c r="A10" s="25" t="s">
        <v>119</v>
      </c>
      <c r="B10" s="9">
        <v>20533.499999999996</v>
      </c>
      <c r="C10" s="26">
        <f t="shared" si="0"/>
        <v>10441.799999999997</v>
      </c>
      <c r="D10" s="23" t="str" cm="1">
        <f t="array" ref="D10">IF(C10="-","--",_xlfn.IFS(C10&lt;0,"⬇️",C10&gt;0,"⬆️",C10=0,"No Change"))</f>
        <v>⬆️</v>
      </c>
    </row>
    <row r="11" spans="1:4" x14ac:dyDescent="0.25">
      <c r="A11" s="25" t="s">
        <v>120</v>
      </c>
      <c r="B11" s="9">
        <v>14215.240000000002</v>
      </c>
      <c r="C11" s="26">
        <f t="shared" si="0"/>
        <v>-6318.2599999999948</v>
      </c>
      <c r="D11" s="23" t="str" cm="1">
        <f t="array" ref="D11">IF(C11="-","--",_xlfn.IFS(C11&lt;0,"⬇️",C11&gt;0,"⬆️",C11=0,"No Change"))</f>
        <v>⬇️</v>
      </c>
    </row>
    <row r="12" spans="1:4" x14ac:dyDescent="0.25">
      <c r="A12" s="25" t="s">
        <v>121</v>
      </c>
      <c r="B12" s="9">
        <v>20135.030000000002</v>
      </c>
      <c r="C12" s="26">
        <f t="shared" si="0"/>
        <v>5919.7900000000009</v>
      </c>
      <c r="D12" s="23" t="str" cm="1">
        <f t="array" ref="D12">IF(C12="-","--",_xlfn.IFS(C12&lt;0,"⬇️",C12&gt;0,"⬆️",C12=0,"No Change"))</f>
        <v>⬆️</v>
      </c>
    </row>
    <row r="13" spans="1:4" x14ac:dyDescent="0.25">
      <c r="A13" s="25" t="s">
        <v>122</v>
      </c>
      <c r="B13" s="9">
        <v>11120.04</v>
      </c>
      <c r="C13" s="26">
        <f t="shared" si="0"/>
        <v>-9014.9900000000016</v>
      </c>
      <c r="D13" s="23" t="str" cm="1">
        <f t="array" ref="D13">IF(C13="-","--",_xlfn.IFS(C13&lt;0,"⬇️",C13&gt;0,"⬆️",C13=0,"No Change"))</f>
        <v>⬇️</v>
      </c>
    </row>
    <row r="14" spans="1:4" x14ac:dyDescent="0.25">
      <c r="A14" s="16" t="s">
        <v>114</v>
      </c>
      <c r="B14" s="9">
        <v>49788.399999999994</v>
      </c>
      <c r="C14" s="26"/>
      <c r="D14" s="23"/>
    </row>
    <row r="15" spans="1:4" x14ac:dyDescent="0.25">
      <c r="A15" s="25" t="s">
        <v>123</v>
      </c>
      <c r="B15" s="9">
        <v>14914.650000000001</v>
      </c>
      <c r="C15" s="26" t="s">
        <v>126</v>
      </c>
      <c r="D15" s="23" t="str" cm="1">
        <f t="array" ref="D15">IF(C15="-","--",_xlfn.IFS(C15&lt;0,"⬇️",C15&gt;0,"⬆️",C15=0,"No Change"))</f>
        <v>--</v>
      </c>
    </row>
    <row r="16" spans="1:4" x14ac:dyDescent="0.25">
      <c r="A16" s="25" t="s">
        <v>124</v>
      </c>
      <c r="B16" s="9">
        <v>14006.359999999999</v>
      </c>
      <c r="C16" s="26">
        <f t="shared" si="0"/>
        <v>-908.29000000000269</v>
      </c>
      <c r="D16" s="23" t="str" cm="1">
        <f t="array" ref="D16">IF(C16="-","--",_xlfn.IFS(C16&lt;0,"⬇️",C16&gt;0,"⬆️",C16=0,"No Change"))</f>
        <v>⬇️</v>
      </c>
    </row>
    <row r="17" spans="1:4" x14ac:dyDescent="0.25">
      <c r="A17" s="25" t="s">
        <v>125</v>
      </c>
      <c r="B17" s="9">
        <v>17655.219999999998</v>
      </c>
      <c r="C17" s="26">
        <f t="shared" si="0"/>
        <v>3648.8599999999988</v>
      </c>
      <c r="D17" s="23" t="str" cm="1">
        <f t="array" ref="D17">IF(C17="-","--",_xlfn.IFS(C17&lt;0,"⬇️",C17&gt;0,"⬆️",C17=0,"No Change"))</f>
        <v>⬆️</v>
      </c>
    </row>
    <row r="18" spans="1:4" x14ac:dyDescent="0.25">
      <c r="A18" s="25" t="s">
        <v>115</v>
      </c>
      <c r="B18" s="9">
        <v>3212.17</v>
      </c>
      <c r="C18" s="26">
        <f t="shared" si="0"/>
        <v>-14443.049999999997</v>
      </c>
      <c r="D18" s="23" t="str" cm="1">
        <f t="array" ref="D18">IF(C18="-","--",_xlfn.IFS(C18&lt;0,"⬇️",C18&gt;0,"⬆️",C18=0,"No Change"))</f>
        <v>⬇️</v>
      </c>
    </row>
    <row r="19" spans="1:4" x14ac:dyDescent="0.25">
      <c r="A19" s="16" t="s">
        <v>103</v>
      </c>
      <c r="B19" s="9">
        <v>195217.76</v>
      </c>
      <c r="C19" s="26"/>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iconSet" priority="2" id="{F7045CAA-9814-405C-BAE9-EE254C00D4C7}">
            <x14:iconSet iconSet="3Triangles">
              <x14:cfvo type="percent">
                <xm:f>0</xm:f>
              </x14:cfvo>
              <x14:cfvo type="percent">
                <xm:f>33</xm:f>
              </x14:cfvo>
              <x14:cfvo type="percent">
                <xm:f>67</xm:f>
              </x14:cfvo>
            </x14:iconSet>
          </x14:cfRule>
          <xm:sqref>B5 B6 B7 B8 B9 B10 B11 B12 B13 B16 B17 B15 B18</xm:sqref>
        </x14:conditionalFormatting>
      </x14:conditionalFormattings>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72948-4119-46DE-B1A9-4C1768C89543}">
  <dimension ref="B2:U21"/>
  <sheetViews>
    <sheetView showGridLines="0" workbookViewId="0">
      <selection activeCell="V13" sqref="V13"/>
    </sheetView>
  </sheetViews>
  <sheetFormatPr defaultRowHeight="15" x14ac:dyDescent="0.25"/>
  <cols>
    <col min="1" max="16384" width="9.140625" style="36"/>
  </cols>
  <sheetData>
    <row r="2" spans="2:21" ht="15" customHeight="1" x14ac:dyDescent="0.25">
      <c r="C2" s="38" t="s">
        <v>134</v>
      </c>
      <c r="D2" s="38"/>
      <c r="E2" s="38"/>
      <c r="F2" s="38"/>
      <c r="G2" s="38"/>
      <c r="H2" s="38"/>
      <c r="I2" s="38"/>
      <c r="J2" s="38"/>
      <c r="K2" s="38"/>
      <c r="L2" s="38"/>
      <c r="M2" s="38"/>
      <c r="N2" s="38"/>
      <c r="O2" s="38"/>
      <c r="P2" s="38"/>
      <c r="Q2" s="38"/>
      <c r="R2" s="38"/>
      <c r="S2" s="38"/>
      <c r="T2" s="38"/>
      <c r="U2" s="38"/>
    </row>
    <row r="3" spans="2:21" ht="15" customHeight="1" x14ac:dyDescent="0.25">
      <c r="C3" s="38"/>
      <c r="D3" s="38"/>
      <c r="E3" s="38"/>
      <c r="F3" s="38"/>
      <c r="G3" s="38"/>
      <c r="H3" s="38"/>
      <c r="I3" s="38"/>
      <c r="J3" s="38"/>
      <c r="K3" s="38"/>
      <c r="L3" s="38"/>
      <c r="M3" s="38"/>
      <c r="N3" s="38"/>
      <c r="O3" s="38"/>
      <c r="P3" s="38"/>
      <c r="Q3" s="38"/>
      <c r="R3" s="38"/>
      <c r="S3" s="38"/>
      <c r="T3" s="38"/>
      <c r="U3" s="38"/>
    </row>
    <row r="4" spans="2:21" ht="15" customHeight="1" x14ac:dyDescent="0.25">
      <c r="C4" s="38"/>
      <c r="D4" s="38"/>
      <c r="E4" s="38"/>
      <c r="F4" s="38"/>
      <c r="G4" s="38"/>
      <c r="H4" s="38"/>
      <c r="I4" s="38"/>
      <c r="J4" s="38"/>
      <c r="K4" s="38"/>
      <c r="L4" s="38"/>
      <c r="M4" s="38"/>
      <c r="N4" s="38"/>
      <c r="O4" s="38"/>
      <c r="P4" s="38"/>
      <c r="Q4" s="38"/>
      <c r="R4" s="38"/>
      <c r="S4" s="38"/>
      <c r="T4" s="38"/>
      <c r="U4" s="38"/>
    </row>
    <row r="6" spans="2:21" x14ac:dyDescent="0.25">
      <c r="B6" s="40"/>
      <c r="C6" s="40"/>
    </row>
    <row r="7" spans="2:21" x14ac:dyDescent="0.25">
      <c r="B7" s="41"/>
      <c r="C7" s="41"/>
    </row>
    <row r="8" spans="2:21" x14ac:dyDescent="0.25">
      <c r="B8" s="42"/>
      <c r="C8" s="42"/>
    </row>
    <row r="20" spans="5:12" x14ac:dyDescent="0.25">
      <c r="L20" s="37"/>
    </row>
    <row r="21" spans="5:12" x14ac:dyDescent="0.25">
      <c r="E21" s="39"/>
    </row>
  </sheetData>
  <mergeCells count="2">
    <mergeCell ref="B6:C6"/>
    <mergeCell ref="C2: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4F22-EDD0-4617-BE09-23B3115E265E}">
  <dimension ref="A1:M201"/>
  <sheetViews>
    <sheetView zoomScale="106" workbookViewId="0">
      <selection activeCell="E2" sqref="E2"/>
    </sheetView>
  </sheetViews>
  <sheetFormatPr defaultRowHeight="15" x14ac:dyDescent="0.25"/>
  <cols>
    <col min="1" max="1" width="16.5703125" style="1" customWidth="1"/>
    <col min="2" max="2" width="20.5703125" style="1" bestFit="1" customWidth="1"/>
    <col min="3" max="3" width="17.85546875" style="1" customWidth="1"/>
    <col min="4" max="4" width="22" style="1" bestFit="1" customWidth="1"/>
    <col min="5" max="5" width="13.28515625" style="8" customWidth="1"/>
    <col min="6" max="6" width="14" style="1" customWidth="1"/>
    <col min="7" max="7" width="14.42578125" style="1" customWidth="1"/>
    <col min="8" max="9" width="17.42578125" style="1" customWidth="1"/>
    <col min="10" max="10" width="10.140625" style="8" bestFit="1" customWidth="1"/>
    <col min="12" max="12" width="19.28515625" bestFit="1" customWidth="1"/>
    <col min="13" max="13" width="11.28515625" bestFit="1" customWidth="1"/>
  </cols>
  <sheetData>
    <row r="1" spans="1:13" ht="26.25" customHeight="1" x14ac:dyDescent="0.25">
      <c r="A1" s="2" t="s">
        <v>0</v>
      </c>
      <c r="B1" s="2" t="s">
        <v>1</v>
      </c>
      <c r="C1" s="2" t="s">
        <v>2</v>
      </c>
      <c r="D1" s="2" t="s">
        <v>3</v>
      </c>
      <c r="E1" s="6" t="s">
        <v>4</v>
      </c>
      <c r="F1" s="2" t="s">
        <v>5</v>
      </c>
      <c r="G1" s="2" t="s">
        <v>6</v>
      </c>
      <c r="H1" s="2" t="s">
        <v>7</v>
      </c>
      <c r="I1" s="2" t="s">
        <v>102</v>
      </c>
      <c r="J1" s="6" t="s">
        <v>8</v>
      </c>
      <c r="L1" s="27" t="s">
        <v>127</v>
      </c>
    </row>
    <row r="2" spans="1:13" ht="15.75" x14ac:dyDescent="0.25">
      <c r="A2" s="3" t="s">
        <v>9</v>
      </c>
      <c r="B2" s="3" t="s">
        <v>10</v>
      </c>
      <c r="C2" s="3" t="s">
        <v>11</v>
      </c>
      <c r="D2" s="3" t="s">
        <v>12</v>
      </c>
      <c r="E2" s="7">
        <v>1036.0899999999999</v>
      </c>
      <c r="F2" s="3">
        <v>4</v>
      </c>
      <c r="G2" s="3">
        <v>0.2</v>
      </c>
      <c r="H2" s="4">
        <v>45392</v>
      </c>
      <c r="I2" s="3">
        <f>MONTH(H2)</f>
        <v>4</v>
      </c>
      <c r="J2" s="7">
        <v>331.55</v>
      </c>
      <c r="L2" s="28">
        <f ca="1">NOW()</f>
        <v>46276.97319409722</v>
      </c>
    </row>
    <row r="3" spans="1:13" ht="15.75" x14ac:dyDescent="0.25">
      <c r="A3" s="3" t="s">
        <v>13</v>
      </c>
      <c r="B3" s="3" t="s">
        <v>14</v>
      </c>
      <c r="C3" s="3" t="s">
        <v>11</v>
      </c>
      <c r="D3" s="3" t="s">
        <v>15</v>
      </c>
      <c r="E3" s="7">
        <v>1101.28</v>
      </c>
      <c r="F3" s="3">
        <v>3</v>
      </c>
      <c r="G3" s="3">
        <v>0.2</v>
      </c>
      <c r="H3" s="4">
        <v>45393</v>
      </c>
      <c r="I3" s="3">
        <f t="shared" ref="I3:I66" si="0">MONTH(H3)</f>
        <v>4</v>
      </c>
      <c r="J3" s="7">
        <v>440.51</v>
      </c>
      <c r="L3" s="28">
        <f t="shared" ref="L3:L66" ca="1" si="1">NOW()</f>
        <v>46276.97319409722</v>
      </c>
      <c r="M3" s="17"/>
    </row>
    <row r="4" spans="1:13" ht="15.75" x14ac:dyDescent="0.25">
      <c r="A4" s="3" t="s">
        <v>16</v>
      </c>
      <c r="B4" s="3" t="s">
        <v>17</v>
      </c>
      <c r="C4" s="3" t="s">
        <v>18</v>
      </c>
      <c r="D4" s="3" t="s">
        <v>12</v>
      </c>
      <c r="E4" s="7">
        <v>713.34</v>
      </c>
      <c r="F4" s="3">
        <v>17</v>
      </c>
      <c r="G4" s="3">
        <v>0</v>
      </c>
      <c r="H4" s="4">
        <v>45396</v>
      </c>
      <c r="I4" s="3">
        <f t="shared" si="0"/>
        <v>4</v>
      </c>
      <c r="J4" s="7">
        <v>285.33999999999997</v>
      </c>
      <c r="L4" s="28">
        <f t="shared" ca="1" si="1"/>
        <v>46276.97319409722</v>
      </c>
      <c r="M4" s="9"/>
    </row>
    <row r="5" spans="1:13" ht="15.75" x14ac:dyDescent="0.25">
      <c r="A5" s="3" t="s">
        <v>19</v>
      </c>
      <c r="B5" s="3" t="s">
        <v>14</v>
      </c>
      <c r="C5" s="3" t="s">
        <v>20</v>
      </c>
      <c r="D5" s="3" t="s">
        <v>21</v>
      </c>
      <c r="E5" s="7">
        <v>760.93</v>
      </c>
      <c r="F5" s="3">
        <v>4</v>
      </c>
      <c r="G5" s="3">
        <v>0.15</v>
      </c>
      <c r="H5" s="4">
        <v>45396</v>
      </c>
      <c r="I5" s="3">
        <f t="shared" si="0"/>
        <v>4</v>
      </c>
      <c r="J5" s="7">
        <v>161.69999999999999</v>
      </c>
      <c r="L5" s="28">
        <f t="shared" ca="1" si="1"/>
        <v>46276.97319409722</v>
      </c>
      <c r="M5" s="9"/>
    </row>
    <row r="6" spans="1:13" ht="15.75" x14ac:dyDescent="0.25">
      <c r="A6" s="3" t="s">
        <v>22</v>
      </c>
      <c r="B6" s="3" t="s">
        <v>23</v>
      </c>
      <c r="C6" s="3" t="s">
        <v>24</v>
      </c>
      <c r="D6" s="3" t="s">
        <v>12</v>
      </c>
      <c r="E6" s="7">
        <v>847</v>
      </c>
      <c r="F6" s="3">
        <v>12</v>
      </c>
      <c r="G6" s="3">
        <v>0.2</v>
      </c>
      <c r="H6" s="4">
        <v>45397</v>
      </c>
      <c r="I6" s="3">
        <f t="shared" si="0"/>
        <v>4</v>
      </c>
      <c r="J6" s="7">
        <v>271.04000000000002</v>
      </c>
      <c r="K6" s="5"/>
      <c r="L6" s="28">
        <f t="shared" ca="1" si="1"/>
        <v>46276.97319409722</v>
      </c>
    </row>
    <row r="7" spans="1:13" ht="15.75" x14ac:dyDescent="0.25">
      <c r="A7" s="3" t="s">
        <v>25</v>
      </c>
      <c r="B7" s="3" t="s">
        <v>26</v>
      </c>
      <c r="C7" s="3" t="s">
        <v>24</v>
      </c>
      <c r="D7" s="3" t="s">
        <v>27</v>
      </c>
      <c r="E7" s="7">
        <v>965.64</v>
      </c>
      <c r="F7" s="3">
        <v>8</v>
      </c>
      <c r="G7" s="3">
        <v>0.1</v>
      </c>
      <c r="H7" s="4">
        <v>45398</v>
      </c>
      <c r="I7" s="3">
        <f t="shared" si="0"/>
        <v>4</v>
      </c>
      <c r="J7" s="7">
        <v>304.18</v>
      </c>
      <c r="L7" s="28">
        <f t="shared" ca="1" si="1"/>
        <v>46276.97319409722</v>
      </c>
    </row>
    <row r="8" spans="1:13" ht="15.75" x14ac:dyDescent="0.25">
      <c r="A8" s="3" t="s">
        <v>28</v>
      </c>
      <c r="B8" s="3" t="s">
        <v>29</v>
      </c>
      <c r="C8" s="3" t="s">
        <v>11</v>
      </c>
      <c r="D8" s="3" t="s">
        <v>21</v>
      </c>
      <c r="E8" s="7">
        <v>1317.53</v>
      </c>
      <c r="F8" s="3">
        <v>12</v>
      </c>
      <c r="G8" s="3">
        <v>0.05</v>
      </c>
      <c r="H8" s="4">
        <v>45398</v>
      </c>
      <c r="I8" s="3">
        <f t="shared" si="0"/>
        <v>4</v>
      </c>
      <c r="J8" s="7">
        <v>312.91000000000003</v>
      </c>
      <c r="L8" s="28">
        <f t="shared" ca="1" si="1"/>
        <v>46276.97319409722</v>
      </c>
    </row>
    <row r="9" spans="1:13" ht="15.75" x14ac:dyDescent="0.25">
      <c r="A9" s="3" t="s">
        <v>30</v>
      </c>
      <c r="B9" s="3" t="s">
        <v>31</v>
      </c>
      <c r="C9" s="3" t="s">
        <v>18</v>
      </c>
      <c r="D9" s="3" t="s">
        <v>27</v>
      </c>
      <c r="E9" s="7">
        <v>1074.47</v>
      </c>
      <c r="F9" s="3">
        <v>6</v>
      </c>
      <c r="G9" s="3">
        <v>0.2</v>
      </c>
      <c r="H9" s="4">
        <v>45401</v>
      </c>
      <c r="I9" s="3">
        <f t="shared" si="0"/>
        <v>4</v>
      </c>
      <c r="J9" s="7">
        <v>300.85000000000002</v>
      </c>
      <c r="L9" s="28">
        <f t="shared" ca="1" si="1"/>
        <v>46276.97319409722</v>
      </c>
    </row>
    <row r="10" spans="1:13" ht="15.75" x14ac:dyDescent="0.25">
      <c r="A10" s="3" t="s">
        <v>32</v>
      </c>
      <c r="B10" s="3" t="s">
        <v>33</v>
      </c>
      <c r="C10" s="3" t="s">
        <v>34</v>
      </c>
      <c r="D10" s="3" t="s">
        <v>12</v>
      </c>
      <c r="E10" s="7">
        <v>501.54</v>
      </c>
      <c r="F10" s="3">
        <v>11</v>
      </c>
      <c r="G10" s="3">
        <v>0.05</v>
      </c>
      <c r="H10" s="4">
        <v>45401</v>
      </c>
      <c r="I10" s="3">
        <f t="shared" si="0"/>
        <v>4</v>
      </c>
      <c r="J10" s="7">
        <v>190.59</v>
      </c>
      <c r="L10" s="28">
        <f t="shared" ca="1" si="1"/>
        <v>46276.97319409722</v>
      </c>
    </row>
    <row r="11" spans="1:13" ht="15.75" x14ac:dyDescent="0.25">
      <c r="A11" s="3" t="s">
        <v>35</v>
      </c>
      <c r="B11" s="3" t="s">
        <v>36</v>
      </c>
      <c r="C11" s="3" t="s">
        <v>34</v>
      </c>
      <c r="D11" s="3" t="s">
        <v>15</v>
      </c>
      <c r="E11" s="7">
        <v>737.31</v>
      </c>
      <c r="F11" s="3">
        <v>2</v>
      </c>
      <c r="G11" s="3">
        <v>0.05</v>
      </c>
      <c r="H11" s="4">
        <v>45401</v>
      </c>
      <c r="I11" s="3">
        <f t="shared" si="0"/>
        <v>4</v>
      </c>
      <c r="J11" s="7">
        <v>350.22</v>
      </c>
      <c r="L11" s="28">
        <f t="shared" ca="1" si="1"/>
        <v>46276.97319409722</v>
      </c>
    </row>
    <row r="12" spans="1:13" ht="15.75" x14ac:dyDescent="0.25">
      <c r="A12" s="3" t="s">
        <v>37</v>
      </c>
      <c r="B12" s="3" t="s">
        <v>38</v>
      </c>
      <c r="C12" s="3" t="s">
        <v>11</v>
      </c>
      <c r="D12" s="3" t="s">
        <v>39</v>
      </c>
      <c r="E12" s="7">
        <v>1572.82</v>
      </c>
      <c r="F12" s="3">
        <v>6</v>
      </c>
      <c r="G12" s="3">
        <v>0.05</v>
      </c>
      <c r="H12" s="4">
        <v>45402</v>
      </c>
      <c r="I12" s="3">
        <f t="shared" si="0"/>
        <v>4</v>
      </c>
      <c r="J12" s="7">
        <v>672.38</v>
      </c>
      <c r="L12" s="28">
        <f t="shared" ca="1" si="1"/>
        <v>46276.97319409722</v>
      </c>
    </row>
    <row r="13" spans="1:13" ht="15.75" x14ac:dyDescent="0.25">
      <c r="A13" s="3" t="s">
        <v>37</v>
      </c>
      <c r="B13" s="3" t="s">
        <v>36</v>
      </c>
      <c r="C13" s="3" t="s">
        <v>34</v>
      </c>
      <c r="D13" s="3" t="s">
        <v>12</v>
      </c>
      <c r="E13" s="7">
        <v>1343.13</v>
      </c>
      <c r="F13" s="3">
        <v>14</v>
      </c>
      <c r="G13" s="3">
        <v>0.15</v>
      </c>
      <c r="H13" s="4">
        <v>45404</v>
      </c>
      <c r="I13" s="3">
        <f t="shared" si="0"/>
        <v>4</v>
      </c>
      <c r="J13" s="7">
        <v>456.66</v>
      </c>
      <c r="L13" s="28">
        <f t="shared" ca="1" si="1"/>
        <v>46276.97319409722</v>
      </c>
    </row>
    <row r="14" spans="1:13" ht="15.75" x14ac:dyDescent="0.25">
      <c r="A14" s="3" t="s">
        <v>25</v>
      </c>
      <c r="B14" s="3" t="s">
        <v>26</v>
      </c>
      <c r="C14" s="3" t="s">
        <v>34</v>
      </c>
      <c r="D14" s="3" t="s">
        <v>12</v>
      </c>
      <c r="E14" s="7">
        <v>1191.58</v>
      </c>
      <c r="F14" s="3">
        <v>14</v>
      </c>
      <c r="G14" s="3">
        <v>0.05</v>
      </c>
      <c r="H14" s="4">
        <v>45406</v>
      </c>
      <c r="I14" s="3">
        <f t="shared" si="0"/>
        <v>4</v>
      </c>
      <c r="J14" s="7">
        <v>452.8</v>
      </c>
      <c r="L14" s="28">
        <f t="shared" ca="1" si="1"/>
        <v>46276.97319409722</v>
      </c>
    </row>
    <row r="15" spans="1:13" ht="15.75" x14ac:dyDescent="0.25">
      <c r="A15" s="3" t="s">
        <v>40</v>
      </c>
      <c r="B15" s="3" t="s">
        <v>14</v>
      </c>
      <c r="C15" s="3" t="s">
        <v>11</v>
      </c>
      <c r="D15" s="3" t="s">
        <v>27</v>
      </c>
      <c r="E15" s="7">
        <v>822.28</v>
      </c>
      <c r="F15" s="3">
        <v>7</v>
      </c>
      <c r="G15" s="3">
        <v>0.05</v>
      </c>
      <c r="H15" s="4">
        <v>45406</v>
      </c>
      <c r="I15" s="3">
        <f t="shared" si="0"/>
        <v>4</v>
      </c>
      <c r="J15" s="7">
        <v>273.41000000000003</v>
      </c>
      <c r="L15" s="28">
        <f t="shared" ca="1" si="1"/>
        <v>46276.97319409722</v>
      </c>
    </row>
    <row r="16" spans="1:13" ht="15.75" x14ac:dyDescent="0.25">
      <c r="A16" s="3" t="s">
        <v>41</v>
      </c>
      <c r="B16" s="3" t="s">
        <v>42</v>
      </c>
      <c r="C16" s="3" t="s">
        <v>24</v>
      </c>
      <c r="D16" s="3" t="s">
        <v>27</v>
      </c>
      <c r="E16" s="7">
        <v>521.66999999999996</v>
      </c>
      <c r="F16" s="3">
        <v>15</v>
      </c>
      <c r="G16" s="3">
        <v>0.15</v>
      </c>
      <c r="H16" s="4">
        <v>45409</v>
      </c>
      <c r="I16" s="3">
        <f t="shared" si="0"/>
        <v>4</v>
      </c>
      <c r="J16" s="7">
        <v>155.19999999999999</v>
      </c>
      <c r="L16" s="28">
        <f t="shared" ca="1" si="1"/>
        <v>46276.97319409722</v>
      </c>
    </row>
    <row r="17" spans="1:12" ht="15.75" x14ac:dyDescent="0.25">
      <c r="A17" s="3" t="s">
        <v>19</v>
      </c>
      <c r="B17" s="3" t="s">
        <v>43</v>
      </c>
      <c r="C17" s="3" t="s">
        <v>20</v>
      </c>
      <c r="D17" s="3" t="s">
        <v>21</v>
      </c>
      <c r="E17" s="7">
        <v>1502.93</v>
      </c>
      <c r="F17" s="3">
        <v>14</v>
      </c>
      <c r="G17" s="3">
        <v>0.2</v>
      </c>
      <c r="H17" s="4">
        <v>45410</v>
      </c>
      <c r="I17" s="3">
        <f t="shared" si="0"/>
        <v>4</v>
      </c>
      <c r="J17" s="7">
        <v>300.58999999999997</v>
      </c>
      <c r="L17" s="28">
        <f t="shared" ca="1" si="1"/>
        <v>46276.97319409722</v>
      </c>
    </row>
    <row r="18" spans="1:12" ht="15.75" x14ac:dyDescent="0.25">
      <c r="A18" s="3" t="s">
        <v>44</v>
      </c>
      <c r="B18" s="3" t="s">
        <v>14</v>
      </c>
      <c r="C18" s="3" t="s">
        <v>20</v>
      </c>
      <c r="D18" s="3" t="s">
        <v>12</v>
      </c>
      <c r="E18" s="7">
        <v>877.58</v>
      </c>
      <c r="F18" s="3">
        <v>10</v>
      </c>
      <c r="G18" s="3">
        <v>0.15</v>
      </c>
      <c r="H18" s="4">
        <v>45411</v>
      </c>
      <c r="I18" s="3">
        <f t="shared" si="0"/>
        <v>4</v>
      </c>
      <c r="J18" s="7">
        <v>298.38</v>
      </c>
      <c r="L18" s="28">
        <f t="shared" ca="1" si="1"/>
        <v>46276.97319409722</v>
      </c>
    </row>
    <row r="19" spans="1:12" ht="15.75" x14ac:dyDescent="0.25">
      <c r="A19" s="3" t="s">
        <v>28</v>
      </c>
      <c r="B19" s="3" t="s">
        <v>45</v>
      </c>
      <c r="C19" s="3" t="s">
        <v>11</v>
      </c>
      <c r="D19" s="3" t="s">
        <v>12</v>
      </c>
      <c r="E19" s="7">
        <v>636.70000000000005</v>
      </c>
      <c r="F19" s="3">
        <v>4</v>
      </c>
      <c r="G19" s="3">
        <v>0.2</v>
      </c>
      <c r="H19" s="4">
        <v>45411</v>
      </c>
      <c r="I19" s="3">
        <f t="shared" si="0"/>
        <v>4</v>
      </c>
      <c r="J19" s="7">
        <v>203.74</v>
      </c>
      <c r="L19" s="28">
        <f t="shared" ca="1" si="1"/>
        <v>46276.97319409722</v>
      </c>
    </row>
    <row r="20" spans="1:12" ht="15.75" x14ac:dyDescent="0.25">
      <c r="A20" s="3" t="s">
        <v>46</v>
      </c>
      <c r="B20" s="3" t="s">
        <v>47</v>
      </c>
      <c r="C20" s="3" t="s">
        <v>11</v>
      </c>
      <c r="D20" s="3" t="s">
        <v>12</v>
      </c>
      <c r="E20" s="7">
        <v>1506.14</v>
      </c>
      <c r="F20" s="3">
        <v>13</v>
      </c>
      <c r="G20" s="3">
        <v>0.2</v>
      </c>
      <c r="H20" s="4">
        <v>45412</v>
      </c>
      <c r="I20" s="3">
        <f t="shared" si="0"/>
        <v>4</v>
      </c>
      <c r="J20" s="7">
        <v>481.96</v>
      </c>
      <c r="L20" s="28">
        <f t="shared" ca="1" si="1"/>
        <v>46276.97319409722</v>
      </c>
    </row>
    <row r="21" spans="1:12" ht="15.75" x14ac:dyDescent="0.25">
      <c r="A21" s="3" t="s">
        <v>30</v>
      </c>
      <c r="B21" s="3" t="s">
        <v>31</v>
      </c>
      <c r="C21" s="3" t="s">
        <v>34</v>
      </c>
      <c r="D21" s="3" t="s">
        <v>21</v>
      </c>
      <c r="E21" s="7">
        <v>645.02</v>
      </c>
      <c r="F21" s="3">
        <v>4</v>
      </c>
      <c r="G21" s="3">
        <v>0</v>
      </c>
      <c r="H21" s="4">
        <v>45414</v>
      </c>
      <c r="I21" s="3">
        <f t="shared" si="0"/>
        <v>5</v>
      </c>
      <c r="J21" s="7">
        <v>161.26</v>
      </c>
      <c r="L21" s="28">
        <f t="shared" ca="1" si="1"/>
        <v>46276.97319409722</v>
      </c>
    </row>
    <row r="22" spans="1:12" ht="15.75" x14ac:dyDescent="0.25">
      <c r="A22" s="3" t="s">
        <v>25</v>
      </c>
      <c r="B22" s="3" t="s">
        <v>48</v>
      </c>
      <c r="C22" s="3" t="s">
        <v>20</v>
      </c>
      <c r="D22" s="3" t="s">
        <v>15</v>
      </c>
      <c r="E22" s="7">
        <v>953.3</v>
      </c>
      <c r="F22" s="3">
        <v>11</v>
      </c>
      <c r="G22" s="3">
        <v>0</v>
      </c>
      <c r="H22" s="4">
        <v>45415</v>
      </c>
      <c r="I22" s="3">
        <f t="shared" si="0"/>
        <v>5</v>
      </c>
      <c r="J22" s="7">
        <v>476.65</v>
      </c>
      <c r="L22" s="28">
        <f t="shared" ca="1" si="1"/>
        <v>46276.97319409722</v>
      </c>
    </row>
    <row r="23" spans="1:12" ht="15.75" x14ac:dyDescent="0.25">
      <c r="A23" s="3" t="s">
        <v>49</v>
      </c>
      <c r="B23" s="3" t="s">
        <v>14</v>
      </c>
      <c r="C23" s="3" t="s">
        <v>24</v>
      </c>
      <c r="D23" s="3" t="s">
        <v>21</v>
      </c>
      <c r="E23" s="7">
        <v>388.56</v>
      </c>
      <c r="F23" s="3">
        <v>14</v>
      </c>
      <c r="G23" s="3">
        <v>0.15</v>
      </c>
      <c r="H23" s="4">
        <v>45416</v>
      </c>
      <c r="I23" s="3">
        <f t="shared" si="0"/>
        <v>5</v>
      </c>
      <c r="J23" s="7">
        <v>82.57</v>
      </c>
      <c r="L23" s="28">
        <f t="shared" ca="1" si="1"/>
        <v>46276.97319409722</v>
      </c>
    </row>
    <row r="24" spans="1:12" ht="15.75" x14ac:dyDescent="0.25">
      <c r="A24" s="3" t="s">
        <v>9</v>
      </c>
      <c r="B24" s="3" t="s">
        <v>31</v>
      </c>
      <c r="C24" s="3" t="s">
        <v>11</v>
      </c>
      <c r="D24" s="3" t="s">
        <v>12</v>
      </c>
      <c r="E24" s="7">
        <v>743.17</v>
      </c>
      <c r="F24" s="3">
        <v>9</v>
      </c>
      <c r="G24" s="3">
        <v>0</v>
      </c>
      <c r="H24" s="4">
        <v>45416</v>
      </c>
      <c r="I24" s="3">
        <f t="shared" si="0"/>
        <v>5</v>
      </c>
      <c r="J24" s="7">
        <v>297.27</v>
      </c>
      <c r="L24" s="28">
        <f t="shared" ca="1" si="1"/>
        <v>46276.97319409722</v>
      </c>
    </row>
    <row r="25" spans="1:12" ht="15.75" x14ac:dyDescent="0.25">
      <c r="A25" s="3" t="s">
        <v>40</v>
      </c>
      <c r="B25" s="3" t="s">
        <v>31</v>
      </c>
      <c r="C25" s="3" t="s">
        <v>34</v>
      </c>
      <c r="D25" s="3" t="s">
        <v>21</v>
      </c>
      <c r="E25" s="7">
        <v>706.37</v>
      </c>
      <c r="F25" s="3">
        <v>6</v>
      </c>
      <c r="G25" s="3">
        <v>0</v>
      </c>
      <c r="H25" s="4">
        <v>45416</v>
      </c>
      <c r="I25" s="3">
        <f t="shared" si="0"/>
        <v>5</v>
      </c>
      <c r="J25" s="7">
        <v>176.59</v>
      </c>
      <c r="L25" s="28">
        <f t="shared" ca="1" si="1"/>
        <v>46276.97319409722</v>
      </c>
    </row>
    <row r="26" spans="1:12" ht="15.75" x14ac:dyDescent="0.25">
      <c r="A26" s="3" t="s">
        <v>13</v>
      </c>
      <c r="B26" s="3" t="s">
        <v>31</v>
      </c>
      <c r="C26" s="3" t="s">
        <v>34</v>
      </c>
      <c r="D26" s="3" t="s">
        <v>39</v>
      </c>
      <c r="E26" s="7">
        <v>925.31</v>
      </c>
      <c r="F26" s="3">
        <v>8</v>
      </c>
      <c r="G26" s="3">
        <v>0.1</v>
      </c>
      <c r="H26" s="4">
        <v>45418</v>
      </c>
      <c r="I26" s="3">
        <f t="shared" si="0"/>
        <v>5</v>
      </c>
      <c r="J26" s="7">
        <v>374.75</v>
      </c>
      <c r="L26" s="28">
        <f t="shared" ca="1" si="1"/>
        <v>46276.97319409722</v>
      </c>
    </row>
    <row r="27" spans="1:12" ht="15.75" x14ac:dyDescent="0.25">
      <c r="A27" s="3" t="s">
        <v>35</v>
      </c>
      <c r="B27" s="3" t="s">
        <v>50</v>
      </c>
      <c r="C27" s="3" t="s">
        <v>20</v>
      </c>
      <c r="D27" s="3" t="s">
        <v>21</v>
      </c>
      <c r="E27" s="7">
        <v>1173.1199999999999</v>
      </c>
      <c r="F27" s="3">
        <v>18</v>
      </c>
      <c r="G27" s="3">
        <v>0</v>
      </c>
      <c r="H27" s="4">
        <v>45418</v>
      </c>
      <c r="I27" s="3">
        <f t="shared" si="0"/>
        <v>5</v>
      </c>
      <c r="J27" s="7">
        <v>293.27999999999997</v>
      </c>
      <c r="L27" s="28">
        <f t="shared" ca="1" si="1"/>
        <v>46276.97319409722</v>
      </c>
    </row>
    <row r="28" spans="1:12" ht="15.75" x14ac:dyDescent="0.25">
      <c r="A28" s="3" t="s">
        <v>22</v>
      </c>
      <c r="B28" s="3" t="s">
        <v>51</v>
      </c>
      <c r="C28" s="3" t="s">
        <v>24</v>
      </c>
      <c r="D28" s="3" t="s">
        <v>27</v>
      </c>
      <c r="E28" s="7">
        <v>675.54</v>
      </c>
      <c r="F28" s="3">
        <v>17</v>
      </c>
      <c r="G28" s="3">
        <v>0</v>
      </c>
      <c r="H28" s="4">
        <v>45420</v>
      </c>
      <c r="I28" s="3">
        <f t="shared" si="0"/>
        <v>5</v>
      </c>
      <c r="J28" s="7">
        <v>236.44</v>
      </c>
      <c r="L28" s="28">
        <f t="shared" ca="1" si="1"/>
        <v>46276.97319409722</v>
      </c>
    </row>
    <row r="29" spans="1:12" ht="15.75" x14ac:dyDescent="0.25">
      <c r="A29" s="3" t="s">
        <v>25</v>
      </c>
      <c r="B29" s="3" t="s">
        <v>14</v>
      </c>
      <c r="C29" s="3" t="s">
        <v>34</v>
      </c>
      <c r="D29" s="3" t="s">
        <v>12</v>
      </c>
      <c r="E29" s="7">
        <v>939.09</v>
      </c>
      <c r="F29" s="3">
        <v>2</v>
      </c>
      <c r="G29" s="3">
        <v>0.05</v>
      </c>
      <c r="H29" s="4">
        <v>45422</v>
      </c>
      <c r="I29" s="3">
        <f t="shared" si="0"/>
        <v>5</v>
      </c>
      <c r="J29" s="7">
        <v>356.85</v>
      </c>
      <c r="L29" s="28">
        <f t="shared" ca="1" si="1"/>
        <v>46276.97319409722</v>
      </c>
    </row>
    <row r="30" spans="1:12" ht="15.75" x14ac:dyDescent="0.25">
      <c r="A30" s="3" t="s">
        <v>52</v>
      </c>
      <c r="B30" s="3" t="s">
        <v>53</v>
      </c>
      <c r="C30" s="3" t="s">
        <v>18</v>
      </c>
      <c r="D30" s="3" t="s">
        <v>39</v>
      </c>
      <c r="E30" s="7">
        <v>983.34</v>
      </c>
      <c r="F30" s="3">
        <v>19</v>
      </c>
      <c r="G30" s="3">
        <v>0.1</v>
      </c>
      <c r="H30" s="4">
        <v>45426</v>
      </c>
      <c r="I30" s="3">
        <f t="shared" si="0"/>
        <v>5</v>
      </c>
      <c r="J30" s="7">
        <v>398.25</v>
      </c>
      <c r="L30" s="28">
        <f t="shared" ca="1" si="1"/>
        <v>46276.97319409722</v>
      </c>
    </row>
    <row r="31" spans="1:12" ht="15.75" x14ac:dyDescent="0.25">
      <c r="A31" s="3" t="s">
        <v>52</v>
      </c>
      <c r="B31" s="3" t="s">
        <v>23</v>
      </c>
      <c r="C31" s="3" t="s">
        <v>20</v>
      </c>
      <c r="D31" s="3" t="s">
        <v>21</v>
      </c>
      <c r="E31" s="7">
        <v>801.21</v>
      </c>
      <c r="F31" s="3">
        <v>3</v>
      </c>
      <c r="G31" s="3">
        <v>0.2</v>
      </c>
      <c r="H31" s="4">
        <v>45426</v>
      </c>
      <c r="I31" s="3">
        <f t="shared" si="0"/>
        <v>5</v>
      </c>
      <c r="J31" s="7">
        <v>160.24</v>
      </c>
      <c r="L31" s="28">
        <f t="shared" ca="1" si="1"/>
        <v>46276.97319409722</v>
      </c>
    </row>
    <row r="32" spans="1:12" ht="15.75" x14ac:dyDescent="0.25">
      <c r="A32" s="3" t="s">
        <v>54</v>
      </c>
      <c r="B32" s="3" t="s">
        <v>55</v>
      </c>
      <c r="C32" s="3" t="s">
        <v>24</v>
      </c>
      <c r="D32" s="3" t="s">
        <v>21</v>
      </c>
      <c r="E32" s="7">
        <v>1450.71</v>
      </c>
      <c r="F32" s="3">
        <v>5</v>
      </c>
      <c r="G32" s="3">
        <v>0.1</v>
      </c>
      <c r="H32" s="4">
        <v>45427</v>
      </c>
      <c r="I32" s="3">
        <f t="shared" si="0"/>
        <v>5</v>
      </c>
      <c r="J32" s="7">
        <v>326.41000000000003</v>
      </c>
      <c r="L32" s="28">
        <f t="shared" ca="1" si="1"/>
        <v>46276.97319409722</v>
      </c>
    </row>
    <row r="33" spans="1:12" ht="15.75" x14ac:dyDescent="0.25">
      <c r="A33" s="3" t="s">
        <v>49</v>
      </c>
      <c r="B33" s="3" t="s">
        <v>56</v>
      </c>
      <c r="C33" s="3" t="s">
        <v>34</v>
      </c>
      <c r="D33" s="3" t="s">
        <v>12</v>
      </c>
      <c r="E33" s="7">
        <v>1023.21</v>
      </c>
      <c r="F33" s="3">
        <v>18</v>
      </c>
      <c r="G33" s="3">
        <v>0.05</v>
      </c>
      <c r="H33" s="4">
        <v>45428</v>
      </c>
      <c r="I33" s="3">
        <f t="shared" si="0"/>
        <v>5</v>
      </c>
      <c r="J33" s="7">
        <v>388.82</v>
      </c>
      <c r="L33" s="28">
        <f t="shared" ca="1" si="1"/>
        <v>46276.97319409722</v>
      </c>
    </row>
    <row r="34" spans="1:12" ht="15.75" x14ac:dyDescent="0.25">
      <c r="A34" s="3" t="s">
        <v>28</v>
      </c>
      <c r="B34" s="3" t="s">
        <v>47</v>
      </c>
      <c r="C34" s="3" t="s">
        <v>11</v>
      </c>
      <c r="D34" s="3" t="s">
        <v>27</v>
      </c>
      <c r="E34" s="7">
        <v>853.72</v>
      </c>
      <c r="F34" s="3">
        <v>5</v>
      </c>
      <c r="G34" s="3">
        <v>0.15</v>
      </c>
      <c r="H34" s="4">
        <v>45428</v>
      </c>
      <c r="I34" s="3">
        <f t="shared" si="0"/>
        <v>5</v>
      </c>
      <c r="J34" s="7">
        <v>253.98</v>
      </c>
      <c r="L34" s="28">
        <f t="shared" ca="1" si="1"/>
        <v>46276.97319409722</v>
      </c>
    </row>
    <row r="35" spans="1:12" ht="15.75" x14ac:dyDescent="0.25">
      <c r="A35" s="3" t="s">
        <v>57</v>
      </c>
      <c r="B35" s="3" t="s">
        <v>43</v>
      </c>
      <c r="C35" s="3" t="s">
        <v>20</v>
      </c>
      <c r="D35" s="3" t="s">
        <v>21</v>
      </c>
      <c r="E35" s="7">
        <v>967.89</v>
      </c>
      <c r="F35" s="3">
        <v>10</v>
      </c>
      <c r="G35" s="3">
        <v>0.1</v>
      </c>
      <c r="H35" s="4">
        <v>45429</v>
      </c>
      <c r="I35" s="3">
        <f t="shared" si="0"/>
        <v>5</v>
      </c>
      <c r="J35" s="7">
        <v>217.78</v>
      </c>
      <c r="L35" s="28">
        <f t="shared" ca="1" si="1"/>
        <v>46276.97319409722</v>
      </c>
    </row>
    <row r="36" spans="1:12" ht="15.75" x14ac:dyDescent="0.25">
      <c r="A36" s="3" t="s">
        <v>58</v>
      </c>
      <c r="B36" s="3" t="s">
        <v>53</v>
      </c>
      <c r="C36" s="3" t="s">
        <v>24</v>
      </c>
      <c r="D36" s="3" t="s">
        <v>39</v>
      </c>
      <c r="E36" s="7">
        <v>1200.9000000000001</v>
      </c>
      <c r="F36" s="3">
        <v>14</v>
      </c>
      <c r="G36" s="3">
        <v>0.05</v>
      </c>
      <c r="H36" s="4">
        <v>45429</v>
      </c>
      <c r="I36" s="3">
        <f t="shared" si="0"/>
        <v>5</v>
      </c>
      <c r="J36" s="7">
        <v>513.38</v>
      </c>
      <c r="L36" s="28">
        <f t="shared" ca="1" si="1"/>
        <v>46276.97319409722</v>
      </c>
    </row>
    <row r="37" spans="1:12" ht="15.75" x14ac:dyDescent="0.25">
      <c r="A37" s="3" t="s">
        <v>13</v>
      </c>
      <c r="B37" s="3" t="s">
        <v>26</v>
      </c>
      <c r="C37" s="3" t="s">
        <v>11</v>
      </c>
      <c r="D37" s="3" t="s">
        <v>12</v>
      </c>
      <c r="E37" s="7">
        <v>472.38</v>
      </c>
      <c r="F37" s="3">
        <v>12</v>
      </c>
      <c r="G37" s="3">
        <v>0.2</v>
      </c>
      <c r="H37" s="4">
        <v>45429</v>
      </c>
      <c r="I37" s="3">
        <f t="shared" si="0"/>
        <v>5</v>
      </c>
      <c r="J37" s="7">
        <v>151.16</v>
      </c>
      <c r="L37" s="28">
        <f t="shared" ca="1" si="1"/>
        <v>46276.97319409722</v>
      </c>
    </row>
    <row r="38" spans="1:12" ht="15.75" x14ac:dyDescent="0.25">
      <c r="A38" s="3" t="s">
        <v>9</v>
      </c>
      <c r="B38" s="3" t="s">
        <v>55</v>
      </c>
      <c r="C38" s="3" t="s">
        <v>18</v>
      </c>
      <c r="D38" s="3" t="s">
        <v>39</v>
      </c>
      <c r="E38" s="7">
        <v>840.92</v>
      </c>
      <c r="F38" s="3">
        <v>9</v>
      </c>
      <c r="G38" s="3">
        <v>0.05</v>
      </c>
      <c r="H38" s="4">
        <v>45429</v>
      </c>
      <c r="I38" s="3">
        <f t="shared" si="0"/>
        <v>5</v>
      </c>
      <c r="J38" s="7">
        <v>359.49</v>
      </c>
      <c r="L38" s="28">
        <f t="shared" ca="1" si="1"/>
        <v>46276.97319409722</v>
      </c>
    </row>
    <row r="39" spans="1:12" ht="15.75" x14ac:dyDescent="0.25">
      <c r="A39" s="3" t="s">
        <v>52</v>
      </c>
      <c r="B39" s="3" t="s">
        <v>48</v>
      </c>
      <c r="C39" s="3" t="s">
        <v>34</v>
      </c>
      <c r="D39" s="3" t="s">
        <v>27</v>
      </c>
      <c r="E39" s="7">
        <v>1410.06</v>
      </c>
      <c r="F39" s="3">
        <v>11</v>
      </c>
      <c r="G39" s="3">
        <v>0.05</v>
      </c>
      <c r="H39" s="4">
        <v>45434</v>
      </c>
      <c r="I39" s="3">
        <f t="shared" si="0"/>
        <v>5</v>
      </c>
      <c r="J39" s="7">
        <v>468.84</v>
      </c>
      <c r="L39" s="28">
        <f t="shared" ca="1" si="1"/>
        <v>46276.97319409722</v>
      </c>
    </row>
    <row r="40" spans="1:12" ht="15.75" x14ac:dyDescent="0.25">
      <c r="A40" s="3" t="s">
        <v>44</v>
      </c>
      <c r="B40" s="3" t="s">
        <v>59</v>
      </c>
      <c r="C40" s="3" t="s">
        <v>34</v>
      </c>
      <c r="D40" s="3" t="s">
        <v>27</v>
      </c>
      <c r="E40" s="7">
        <v>773.09</v>
      </c>
      <c r="F40" s="3">
        <v>13</v>
      </c>
      <c r="G40" s="3">
        <v>0.15</v>
      </c>
      <c r="H40" s="4">
        <v>45434</v>
      </c>
      <c r="I40" s="3">
        <f t="shared" si="0"/>
        <v>5</v>
      </c>
      <c r="J40" s="7">
        <v>229.99</v>
      </c>
      <c r="L40" s="28">
        <f t="shared" ca="1" si="1"/>
        <v>46276.97319409722</v>
      </c>
    </row>
    <row r="41" spans="1:12" ht="15.75" x14ac:dyDescent="0.25">
      <c r="A41" s="3" t="s">
        <v>60</v>
      </c>
      <c r="B41" s="3" t="s">
        <v>61</v>
      </c>
      <c r="C41" s="3" t="s">
        <v>18</v>
      </c>
      <c r="D41" s="3" t="s">
        <v>12</v>
      </c>
      <c r="E41" s="7">
        <v>580.42999999999995</v>
      </c>
      <c r="F41" s="3">
        <v>19</v>
      </c>
      <c r="G41" s="3">
        <v>0.15</v>
      </c>
      <c r="H41" s="4">
        <v>45435</v>
      </c>
      <c r="I41" s="3">
        <f t="shared" si="0"/>
        <v>5</v>
      </c>
      <c r="J41" s="7">
        <v>197.35</v>
      </c>
      <c r="L41" s="28">
        <f t="shared" ca="1" si="1"/>
        <v>46276.97319409722</v>
      </c>
    </row>
    <row r="42" spans="1:12" ht="15.75" x14ac:dyDescent="0.25">
      <c r="A42" s="3" t="s">
        <v>19</v>
      </c>
      <c r="B42" s="3" t="s">
        <v>42</v>
      </c>
      <c r="C42" s="3" t="s">
        <v>20</v>
      </c>
      <c r="D42" s="3" t="s">
        <v>12</v>
      </c>
      <c r="E42" s="7">
        <v>1151.21</v>
      </c>
      <c r="F42" s="3">
        <v>15</v>
      </c>
      <c r="G42" s="3">
        <v>0.1</v>
      </c>
      <c r="H42" s="4">
        <v>45445</v>
      </c>
      <c r="I42" s="3">
        <f t="shared" si="0"/>
        <v>6</v>
      </c>
      <c r="J42" s="7">
        <v>414.44</v>
      </c>
      <c r="L42" s="28">
        <f t="shared" ca="1" si="1"/>
        <v>46276.97319409722</v>
      </c>
    </row>
    <row r="43" spans="1:12" ht="15.75" x14ac:dyDescent="0.25">
      <c r="A43" s="3" t="s">
        <v>52</v>
      </c>
      <c r="B43" s="3" t="s">
        <v>23</v>
      </c>
      <c r="C43" s="3" t="s">
        <v>34</v>
      </c>
      <c r="D43" s="3" t="s">
        <v>39</v>
      </c>
      <c r="E43" s="7">
        <v>1025.98</v>
      </c>
      <c r="F43" s="3">
        <v>5</v>
      </c>
      <c r="G43" s="3">
        <v>0.2</v>
      </c>
      <c r="H43" s="4">
        <v>45447</v>
      </c>
      <c r="I43" s="3">
        <f t="shared" si="0"/>
        <v>6</v>
      </c>
      <c r="J43" s="7">
        <v>369.35</v>
      </c>
      <c r="L43" s="28">
        <f t="shared" ca="1" si="1"/>
        <v>46276.97319409722</v>
      </c>
    </row>
    <row r="44" spans="1:12" ht="15.75" x14ac:dyDescent="0.25">
      <c r="A44" s="3" t="s">
        <v>40</v>
      </c>
      <c r="B44" s="3" t="s">
        <v>56</v>
      </c>
      <c r="C44" s="3" t="s">
        <v>18</v>
      </c>
      <c r="D44" s="3" t="s">
        <v>39</v>
      </c>
      <c r="E44" s="7">
        <v>556.41999999999996</v>
      </c>
      <c r="F44" s="3">
        <v>11</v>
      </c>
      <c r="G44" s="3">
        <v>0.15</v>
      </c>
      <c r="H44" s="4">
        <v>45447</v>
      </c>
      <c r="I44" s="3">
        <f t="shared" si="0"/>
        <v>6</v>
      </c>
      <c r="J44" s="7">
        <v>212.83</v>
      </c>
      <c r="L44" s="28">
        <f t="shared" ca="1" si="1"/>
        <v>46276.97319409722</v>
      </c>
    </row>
    <row r="45" spans="1:12" ht="15.75" x14ac:dyDescent="0.25">
      <c r="A45" s="3" t="s">
        <v>57</v>
      </c>
      <c r="B45" s="3" t="s">
        <v>23</v>
      </c>
      <c r="C45" s="3" t="s">
        <v>34</v>
      </c>
      <c r="D45" s="3" t="s">
        <v>12</v>
      </c>
      <c r="E45" s="7">
        <v>840.85</v>
      </c>
      <c r="F45" s="3">
        <v>19</v>
      </c>
      <c r="G45" s="3">
        <v>0.1</v>
      </c>
      <c r="H45" s="4">
        <v>45448</v>
      </c>
      <c r="I45" s="3">
        <f t="shared" si="0"/>
        <v>6</v>
      </c>
      <c r="J45" s="7">
        <v>302.70999999999998</v>
      </c>
      <c r="L45" s="28">
        <f t="shared" ca="1" si="1"/>
        <v>46276.97319409722</v>
      </c>
    </row>
    <row r="46" spans="1:12" ht="15.75" x14ac:dyDescent="0.25">
      <c r="A46" s="3" t="s">
        <v>30</v>
      </c>
      <c r="B46" s="3" t="s">
        <v>61</v>
      </c>
      <c r="C46" s="3" t="s">
        <v>24</v>
      </c>
      <c r="D46" s="3" t="s">
        <v>27</v>
      </c>
      <c r="E46" s="7">
        <v>1227.25</v>
      </c>
      <c r="F46" s="3">
        <v>12</v>
      </c>
      <c r="G46" s="3">
        <v>0.15</v>
      </c>
      <c r="H46" s="4">
        <v>45448</v>
      </c>
      <c r="I46" s="3">
        <f t="shared" si="0"/>
        <v>6</v>
      </c>
      <c r="J46" s="7">
        <v>365.11</v>
      </c>
      <c r="L46" s="28">
        <f t="shared" ca="1" si="1"/>
        <v>46276.97319409722</v>
      </c>
    </row>
    <row r="47" spans="1:12" ht="15.75" x14ac:dyDescent="0.25">
      <c r="A47" s="3" t="s">
        <v>16</v>
      </c>
      <c r="B47" s="3" t="s">
        <v>62</v>
      </c>
      <c r="C47" s="3" t="s">
        <v>34</v>
      </c>
      <c r="D47" s="3" t="s">
        <v>21</v>
      </c>
      <c r="E47" s="7">
        <v>856.7</v>
      </c>
      <c r="F47" s="3">
        <v>2</v>
      </c>
      <c r="G47" s="3">
        <v>0</v>
      </c>
      <c r="H47" s="4">
        <v>45449</v>
      </c>
      <c r="I47" s="3">
        <f t="shared" si="0"/>
        <v>6</v>
      </c>
      <c r="J47" s="7">
        <v>214.18</v>
      </c>
      <c r="L47" s="28">
        <f t="shared" ca="1" si="1"/>
        <v>46276.97319409722</v>
      </c>
    </row>
    <row r="48" spans="1:12" ht="15.75" x14ac:dyDescent="0.25">
      <c r="A48" s="3" t="s">
        <v>54</v>
      </c>
      <c r="B48" s="3" t="s">
        <v>56</v>
      </c>
      <c r="C48" s="3" t="s">
        <v>34</v>
      </c>
      <c r="D48" s="3" t="s">
        <v>39</v>
      </c>
      <c r="E48" s="7">
        <v>1225.42</v>
      </c>
      <c r="F48" s="3">
        <v>8</v>
      </c>
      <c r="G48" s="3">
        <v>0.15</v>
      </c>
      <c r="H48" s="4">
        <v>45449</v>
      </c>
      <c r="I48" s="3">
        <f t="shared" si="0"/>
        <v>6</v>
      </c>
      <c r="J48" s="7">
        <v>468.72</v>
      </c>
      <c r="L48" s="28">
        <f t="shared" ca="1" si="1"/>
        <v>46276.97319409722</v>
      </c>
    </row>
    <row r="49" spans="1:12" ht="15.75" x14ac:dyDescent="0.25">
      <c r="A49" s="3" t="s">
        <v>63</v>
      </c>
      <c r="B49" s="3" t="s">
        <v>31</v>
      </c>
      <c r="C49" s="3" t="s">
        <v>24</v>
      </c>
      <c r="D49" s="3" t="s">
        <v>39</v>
      </c>
      <c r="E49" s="7">
        <v>1001.57</v>
      </c>
      <c r="F49" s="3">
        <v>12</v>
      </c>
      <c r="G49" s="3">
        <v>0</v>
      </c>
      <c r="H49" s="4">
        <v>45450</v>
      </c>
      <c r="I49" s="3">
        <f t="shared" si="0"/>
        <v>6</v>
      </c>
      <c r="J49" s="7">
        <v>450.71</v>
      </c>
      <c r="L49" s="28">
        <f t="shared" ca="1" si="1"/>
        <v>46276.97319409722</v>
      </c>
    </row>
    <row r="50" spans="1:12" ht="15.75" x14ac:dyDescent="0.25">
      <c r="A50" s="3" t="s">
        <v>57</v>
      </c>
      <c r="B50" s="3" t="s">
        <v>26</v>
      </c>
      <c r="C50" s="3" t="s">
        <v>18</v>
      </c>
      <c r="D50" s="3" t="s">
        <v>27</v>
      </c>
      <c r="E50" s="7">
        <v>1186.8499999999999</v>
      </c>
      <c r="F50" s="3">
        <v>19</v>
      </c>
      <c r="G50" s="3">
        <v>0.2</v>
      </c>
      <c r="H50" s="4">
        <v>45451</v>
      </c>
      <c r="I50" s="3">
        <f t="shared" si="0"/>
        <v>6</v>
      </c>
      <c r="J50" s="7">
        <v>332.32</v>
      </c>
      <c r="L50" s="28">
        <f t="shared" ca="1" si="1"/>
        <v>46276.97319409722</v>
      </c>
    </row>
    <row r="51" spans="1:12" ht="15.75" x14ac:dyDescent="0.25">
      <c r="A51" s="3" t="s">
        <v>44</v>
      </c>
      <c r="B51" s="3" t="s">
        <v>51</v>
      </c>
      <c r="C51" s="3" t="s">
        <v>20</v>
      </c>
      <c r="D51" s="3" t="s">
        <v>21</v>
      </c>
      <c r="E51" s="7">
        <v>775.45</v>
      </c>
      <c r="F51" s="3">
        <v>6</v>
      </c>
      <c r="G51" s="3">
        <v>0.1</v>
      </c>
      <c r="H51" s="4">
        <v>45457</v>
      </c>
      <c r="I51" s="3">
        <f t="shared" si="0"/>
        <v>6</v>
      </c>
      <c r="J51" s="7">
        <v>174.48</v>
      </c>
      <c r="L51" s="28">
        <f t="shared" ca="1" si="1"/>
        <v>46276.97319409722</v>
      </c>
    </row>
    <row r="52" spans="1:12" ht="15.75" x14ac:dyDescent="0.25">
      <c r="A52" s="3" t="s">
        <v>25</v>
      </c>
      <c r="B52" s="3" t="s">
        <v>33</v>
      </c>
      <c r="C52" s="3" t="s">
        <v>20</v>
      </c>
      <c r="D52" s="3" t="s">
        <v>21</v>
      </c>
      <c r="E52" s="7">
        <v>1021.47</v>
      </c>
      <c r="F52" s="3">
        <v>6</v>
      </c>
      <c r="G52" s="3">
        <v>0.05</v>
      </c>
      <c r="H52" s="4">
        <v>45461</v>
      </c>
      <c r="I52" s="3">
        <f t="shared" si="0"/>
        <v>6</v>
      </c>
      <c r="J52" s="7">
        <v>242.6</v>
      </c>
      <c r="L52" s="28">
        <f t="shared" ca="1" si="1"/>
        <v>46276.97319409722</v>
      </c>
    </row>
    <row r="53" spans="1:12" ht="15.75" x14ac:dyDescent="0.25">
      <c r="A53" s="3" t="s">
        <v>58</v>
      </c>
      <c r="B53" s="3" t="s">
        <v>23</v>
      </c>
      <c r="C53" s="3" t="s">
        <v>20</v>
      </c>
      <c r="D53" s="3" t="s">
        <v>15</v>
      </c>
      <c r="E53" s="7">
        <v>1226.6199999999999</v>
      </c>
      <c r="F53" s="3">
        <v>7</v>
      </c>
      <c r="G53" s="3">
        <v>0.1</v>
      </c>
      <c r="H53" s="4">
        <v>45463</v>
      </c>
      <c r="I53" s="3">
        <f t="shared" si="0"/>
        <v>6</v>
      </c>
      <c r="J53" s="7">
        <v>551.98</v>
      </c>
      <c r="L53" s="28">
        <f t="shared" ca="1" si="1"/>
        <v>46276.97319409722</v>
      </c>
    </row>
    <row r="54" spans="1:12" ht="15.75" x14ac:dyDescent="0.25">
      <c r="A54" s="3" t="s">
        <v>22</v>
      </c>
      <c r="B54" s="3" t="s">
        <v>64</v>
      </c>
      <c r="C54" s="3" t="s">
        <v>20</v>
      </c>
      <c r="D54" s="3" t="s">
        <v>27</v>
      </c>
      <c r="E54" s="7">
        <v>1086.93</v>
      </c>
      <c r="F54" s="3">
        <v>2</v>
      </c>
      <c r="G54" s="3">
        <v>0</v>
      </c>
      <c r="H54" s="4">
        <v>45464</v>
      </c>
      <c r="I54" s="3">
        <f t="shared" si="0"/>
        <v>6</v>
      </c>
      <c r="J54" s="7">
        <v>380.43</v>
      </c>
      <c r="L54" s="28">
        <f t="shared" ca="1" si="1"/>
        <v>46276.97319409722</v>
      </c>
    </row>
    <row r="55" spans="1:12" ht="15.75" x14ac:dyDescent="0.25">
      <c r="A55" s="3" t="s">
        <v>65</v>
      </c>
      <c r="B55" s="3" t="s">
        <v>48</v>
      </c>
      <c r="C55" s="3" t="s">
        <v>11</v>
      </c>
      <c r="D55" s="3" t="s">
        <v>12</v>
      </c>
      <c r="E55" s="7">
        <v>942.9</v>
      </c>
      <c r="F55" s="3">
        <v>18</v>
      </c>
      <c r="G55" s="3">
        <v>0.1</v>
      </c>
      <c r="H55" s="4">
        <v>45466</v>
      </c>
      <c r="I55" s="3">
        <f t="shared" si="0"/>
        <v>6</v>
      </c>
      <c r="J55" s="7">
        <v>339.44</v>
      </c>
      <c r="L55" s="28">
        <f t="shared" ca="1" si="1"/>
        <v>46276.97319409722</v>
      </c>
    </row>
    <row r="56" spans="1:12" ht="15.75" x14ac:dyDescent="0.25">
      <c r="A56" s="3" t="s">
        <v>32</v>
      </c>
      <c r="B56" s="3" t="s">
        <v>38</v>
      </c>
      <c r="C56" s="3" t="s">
        <v>24</v>
      </c>
      <c r="D56" s="3" t="s">
        <v>21</v>
      </c>
      <c r="E56" s="7">
        <v>818.8</v>
      </c>
      <c r="F56" s="3">
        <v>15</v>
      </c>
      <c r="G56" s="3">
        <v>0.15</v>
      </c>
      <c r="H56" s="4">
        <v>45468</v>
      </c>
      <c r="I56" s="3">
        <f t="shared" si="0"/>
        <v>6</v>
      </c>
      <c r="J56" s="7">
        <v>173.99</v>
      </c>
      <c r="L56" s="28">
        <f t="shared" ca="1" si="1"/>
        <v>46276.97319409722</v>
      </c>
    </row>
    <row r="57" spans="1:12" ht="15.75" x14ac:dyDescent="0.25">
      <c r="A57" s="3" t="s">
        <v>19</v>
      </c>
      <c r="B57" s="3" t="s">
        <v>14</v>
      </c>
      <c r="C57" s="3" t="s">
        <v>20</v>
      </c>
      <c r="D57" s="3" t="s">
        <v>27</v>
      </c>
      <c r="E57" s="7">
        <v>919.04</v>
      </c>
      <c r="F57" s="3">
        <v>10</v>
      </c>
      <c r="G57" s="3">
        <v>0.2</v>
      </c>
      <c r="H57" s="4">
        <v>45468</v>
      </c>
      <c r="I57" s="3">
        <f t="shared" si="0"/>
        <v>6</v>
      </c>
      <c r="J57" s="7">
        <v>257.33</v>
      </c>
      <c r="L57" s="28">
        <f t="shared" ca="1" si="1"/>
        <v>46276.97319409722</v>
      </c>
    </row>
    <row r="58" spans="1:12" ht="15.75" x14ac:dyDescent="0.25">
      <c r="A58" s="3" t="s">
        <v>22</v>
      </c>
      <c r="B58" s="3" t="s">
        <v>66</v>
      </c>
      <c r="C58" s="3" t="s">
        <v>34</v>
      </c>
      <c r="D58" s="3" t="s">
        <v>12</v>
      </c>
      <c r="E58" s="7">
        <v>973.26</v>
      </c>
      <c r="F58" s="3">
        <v>11</v>
      </c>
      <c r="G58" s="3">
        <v>0</v>
      </c>
      <c r="H58" s="4">
        <v>45470</v>
      </c>
      <c r="I58" s="3">
        <f t="shared" si="0"/>
        <v>6</v>
      </c>
      <c r="J58" s="7">
        <v>389.3</v>
      </c>
      <c r="L58" s="28">
        <f t="shared" ca="1" si="1"/>
        <v>46276.97319409722</v>
      </c>
    </row>
    <row r="59" spans="1:12" ht="15.75" x14ac:dyDescent="0.25">
      <c r="A59" s="3" t="s">
        <v>41</v>
      </c>
      <c r="B59" s="3" t="s">
        <v>64</v>
      </c>
      <c r="C59" s="3" t="s">
        <v>24</v>
      </c>
      <c r="D59" s="3" t="s">
        <v>21</v>
      </c>
      <c r="E59" s="7">
        <v>741.61</v>
      </c>
      <c r="F59" s="3">
        <v>1</v>
      </c>
      <c r="G59" s="3">
        <v>0.2</v>
      </c>
      <c r="H59" s="4">
        <v>45471</v>
      </c>
      <c r="I59" s="3">
        <f t="shared" si="0"/>
        <v>6</v>
      </c>
      <c r="J59" s="7">
        <v>148.32</v>
      </c>
      <c r="L59" s="28">
        <f t="shared" ca="1" si="1"/>
        <v>46276.97319409722</v>
      </c>
    </row>
    <row r="60" spans="1:12" ht="15.75" x14ac:dyDescent="0.25">
      <c r="A60" s="3" t="s">
        <v>67</v>
      </c>
      <c r="B60" s="3" t="s">
        <v>38</v>
      </c>
      <c r="C60" s="3" t="s">
        <v>24</v>
      </c>
      <c r="D60" s="3" t="s">
        <v>12</v>
      </c>
      <c r="E60" s="7">
        <v>1248.82</v>
      </c>
      <c r="F60" s="3">
        <v>2</v>
      </c>
      <c r="G60" s="3">
        <v>0.1</v>
      </c>
      <c r="H60" s="4">
        <v>45473</v>
      </c>
      <c r="I60" s="3">
        <f t="shared" si="0"/>
        <v>6</v>
      </c>
      <c r="J60" s="7">
        <v>449.58</v>
      </c>
      <c r="L60" s="28">
        <f t="shared" ca="1" si="1"/>
        <v>46276.97319409722</v>
      </c>
    </row>
    <row r="61" spans="1:12" ht="15.75" x14ac:dyDescent="0.25">
      <c r="A61" s="3" t="s">
        <v>13</v>
      </c>
      <c r="B61" s="3" t="s">
        <v>59</v>
      </c>
      <c r="C61" s="3" t="s">
        <v>11</v>
      </c>
      <c r="D61" s="3" t="s">
        <v>15</v>
      </c>
      <c r="E61" s="7">
        <v>1360.36</v>
      </c>
      <c r="F61" s="3">
        <v>17</v>
      </c>
      <c r="G61" s="3">
        <v>0</v>
      </c>
      <c r="H61" s="4">
        <v>45473</v>
      </c>
      <c r="I61" s="3">
        <f t="shared" si="0"/>
        <v>6</v>
      </c>
      <c r="J61" s="7">
        <v>680.18</v>
      </c>
      <c r="L61" s="28">
        <f t="shared" ca="1" si="1"/>
        <v>46276.97319409722</v>
      </c>
    </row>
    <row r="62" spans="1:12" ht="15.75" x14ac:dyDescent="0.25">
      <c r="A62" s="3" t="s">
        <v>57</v>
      </c>
      <c r="B62" s="3" t="s">
        <v>31</v>
      </c>
      <c r="C62" s="3" t="s">
        <v>18</v>
      </c>
      <c r="D62" s="3" t="s">
        <v>12</v>
      </c>
      <c r="E62" s="7">
        <v>1383.3</v>
      </c>
      <c r="F62" s="3">
        <v>8</v>
      </c>
      <c r="G62" s="3">
        <v>0.1</v>
      </c>
      <c r="H62" s="4">
        <v>45478</v>
      </c>
      <c r="I62" s="3">
        <f t="shared" si="0"/>
        <v>7</v>
      </c>
      <c r="J62" s="7">
        <v>497.99</v>
      </c>
      <c r="L62" s="28">
        <f t="shared" ca="1" si="1"/>
        <v>46276.97319409722</v>
      </c>
    </row>
    <row r="63" spans="1:12" ht="15.75" x14ac:dyDescent="0.25">
      <c r="A63" s="3" t="s">
        <v>35</v>
      </c>
      <c r="B63" s="3" t="s">
        <v>55</v>
      </c>
      <c r="C63" s="3" t="s">
        <v>34</v>
      </c>
      <c r="D63" s="3" t="s">
        <v>39</v>
      </c>
      <c r="E63" s="7">
        <v>488.99</v>
      </c>
      <c r="F63" s="3">
        <v>9</v>
      </c>
      <c r="G63" s="3">
        <v>0</v>
      </c>
      <c r="H63" s="4">
        <v>45479</v>
      </c>
      <c r="I63" s="3">
        <f t="shared" si="0"/>
        <v>7</v>
      </c>
      <c r="J63" s="7">
        <v>220.05</v>
      </c>
      <c r="L63" s="28">
        <f t="shared" ca="1" si="1"/>
        <v>46276.97319409722</v>
      </c>
    </row>
    <row r="64" spans="1:12" ht="15.75" x14ac:dyDescent="0.25">
      <c r="A64" s="3" t="s">
        <v>30</v>
      </c>
      <c r="B64" s="3" t="s">
        <v>31</v>
      </c>
      <c r="C64" s="3" t="s">
        <v>18</v>
      </c>
      <c r="D64" s="3" t="s">
        <v>27</v>
      </c>
      <c r="E64" s="7">
        <v>933.71</v>
      </c>
      <c r="F64" s="3">
        <v>17</v>
      </c>
      <c r="G64" s="3">
        <v>0.1</v>
      </c>
      <c r="H64" s="4">
        <v>45481</v>
      </c>
      <c r="I64" s="3">
        <f t="shared" si="0"/>
        <v>7</v>
      </c>
      <c r="J64" s="7">
        <v>294.12</v>
      </c>
      <c r="L64" s="28">
        <f t="shared" ca="1" si="1"/>
        <v>46276.97319409722</v>
      </c>
    </row>
    <row r="65" spans="1:12" ht="15.75" x14ac:dyDescent="0.25">
      <c r="A65" s="3" t="s">
        <v>67</v>
      </c>
      <c r="B65" s="3" t="s">
        <v>10</v>
      </c>
      <c r="C65" s="3" t="s">
        <v>11</v>
      </c>
      <c r="D65" s="3" t="s">
        <v>21</v>
      </c>
      <c r="E65" s="7">
        <v>1005.53</v>
      </c>
      <c r="F65" s="3">
        <v>17</v>
      </c>
      <c r="G65" s="3">
        <v>0.2</v>
      </c>
      <c r="H65" s="4">
        <v>45481</v>
      </c>
      <c r="I65" s="3">
        <f t="shared" si="0"/>
        <v>7</v>
      </c>
      <c r="J65" s="7">
        <v>201.11</v>
      </c>
      <c r="L65" s="28">
        <f t="shared" ca="1" si="1"/>
        <v>46276.97319409722</v>
      </c>
    </row>
    <row r="66" spans="1:12" ht="15.75" x14ac:dyDescent="0.25">
      <c r="A66" s="3" t="s">
        <v>41</v>
      </c>
      <c r="B66" s="3" t="s">
        <v>61</v>
      </c>
      <c r="C66" s="3" t="s">
        <v>20</v>
      </c>
      <c r="D66" s="3" t="s">
        <v>21</v>
      </c>
      <c r="E66" s="7">
        <v>1100.0999999999999</v>
      </c>
      <c r="F66" s="3">
        <v>5</v>
      </c>
      <c r="G66" s="3">
        <v>0.05</v>
      </c>
      <c r="H66" s="4">
        <v>45482</v>
      </c>
      <c r="I66" s="3">
        <f t="shared" si="0"/>
        <v>7</v>
      </c>
      <c r="J66" s="7">
        <v>261.27</v>
      </c>
      <c r="L66" s="28">
        <f t="shared" ca="1" si="1"/>
        <v>46276.97319409722</v>
      </c>
    </row>
    <row r="67" spans="1:12" ht="15.75" x14ac:dyDescent="0.25">
      <c r="A67" s="3" t="s">
        <v>67</v>
      </c>
      <c r="B67" s="3" t="s">
        <v>23</v>
      </c>
      <c r="C67" s="3" t="s">
        <v>24</v>
      </c>
      <c r="D67" s="3" t="s">
        <v>27</v>
      </c>
      <c r="E67" s="7">
        <v>1034.7</v>
      </c>
      <c r="F67" s="3">
        <v>15</v>
      </c>
      <c r="G67" s="3">
        <v>0.15</v>
      </c>
      <c r="H67" s="4">
        <v>45487</v>
      </c>
      <c r="I67" s="3">
        <f t="shared" ref="I67:I130" si="2">MONTH(H67)</f>
        <v>7</v>
      </c>
      <c r="J67" s="7">
        <v>307.82</v>
      </c>
      <c r="L67" s="28">
        <f t="shared" ref="L67:L130" ca="1" si="3">NOW()</f>
        <v>46276.97319409722</v>
      </c>
    </row>
    <row r="68" spans="1:12" ht="15.75" x14ac:dyDescent="0.25">
      <c r="A68" s="3" t="s">
        <v>65</v>
      </c>
      <c r="B68" s="3" t="s">
        <v>31</v>
      </c>
      <c r="C68" s="3" t="s">
        <v>20</v>
      </c>
      <c r="D68" s="3" t="s">
        <v>12</v>
      </c>
      <c r="E68" s="7">
        <v>876.44</v>
      </c>
      <c r="F68" s="3">
        <v>12</v>
      </c>
      <c r="G68" s="3">
        <v>0.05</v>
      </c>
      <c r="H68" s="4">
        <v>45488</v>
      </c>
      <c r="I68" s="3">
        <f t="shared" si="2"/>
        <v>7</v>
      </c>
      <c r="J68" s="7">
        <v>333.05</v>
      </c>
      <c r="L68" s="28">
        <f t="shared" ca="1" si="3"/>
        <v>46276.97319409722</v>
      </c>
    </row>
    <row r="69" spans="1:12" ht="15.75" x14ac:dyDescent="0.25">
      <c r="A69" s="3" t="s">
        <v>68</v>
      </c>
      <c r="B69" s="3" t="s">
        <v>55</v>
      </c>
      <c r="C69" s="3" t="s">
        <v>11</v>
      </c>
      <c r="D69" s="3" t="s">
        <v>27</v>
      </c>
      <c r="E69" s="7">
        <v>1371.34</v>
      </c>
      <c r="F69" s="3">
        <v>5</v>
      </c>
      <c r="G69" s="3">
        <v>0.05</v>
      </c>
      <c r="H69" s="4">
        <v>45488</v>
      </c>
      <c r="I69" s="3">
        <f t="shared" si="2"/>
        <v>7</v>
      </c>
      <c r="J69" s="7">
        <v>455.97</v>
      </c>
      <c r="L69" s="28">
        <f t="shared" ca="1" si="3"/>
        <v>46276.97319409722</v>
      </c>
    </row>
    <row r="70" spans="1:12" ht="15.75" x14ac:dyDescent="0.25">
      <c r="A70" s="3" t="s">
        <v>57</v>
      </c>
      <c r="B70" s="3" t="s">
        <v>47</v>
      </c>
      <c r="C70" s="3" t="s">
        <v>24</v>
      </c>
      <c r="D70" s="3" t="s">
        <v>21</v>
      </c>
      <c r="E70" s="7">
        <v>1020.26</v>
      </c>
      <c r="F70" s="3">
        <v>11</v>
      </c>
      <c r="G70" s="3">
        <v>0.05</v>
      </c>
      <c r="H70" s="4">
        <v>45494</v>
      </c>
      <c r="I70" s="3">
        <f t="shared" si="2"/>
        <v>7</v>
      </c>
      <c r="J70" s="7">
        <v>242.31</v>
      </c>
      <c r="L70" s="28">
        <f t="shared" ca="1" si="3"/>
        <v>46276.97319409722</v>
      </c>
    </row>
    <row r="71" spans="1:12" ht="15.75" x14ac:dyDescent="0.25">
      <c r="A71" s="3" t="s">
        <v>44</v>
      </c>
      <c r="B71" s="3" t="s">
        <v>10</v>
      </c>
      <c r="C71" s="3" t="s">
        <v>34</v>
      </c>
      <c r="D71" s="3" t="s">
        <v>39</v>
      </c>
      <c r="E71" s="7">
        <v>804.81</v>
      </c>
      <c r="F71" s="3">
        <v>1</v>
      </c>
      <c r="G71" s="3">
        <v>0.05</v>
      </c>
      <c r="H71" s="4">
        <v>45502</v>
      </c>
      <c r="I71" s="3">
        <f t="shared" si="2"/>
        <v>7</v>
      </c>
      <c r="J71" s="7">
        <v>344.06</v>
      </c>
      <c r="L71" s="28">
        <f t="shared" ca="1" si="3"/>
        <v>46276.97319409722</v>
      </c>
    </row>
    <row r="72" spans="1:12" ht="15.75" x14ac:dyDescent="0.25">
      <c r="A72" s="3" t="s">
        <v>22</v>
      </c>
      <c r="B72" s="3" t="s">
        <v>55</v>
      </c>
      <c r="C72" s="3" t="s">
        <v>34</v>
      </c>
      <c r="D72" s="3" t="s">
        <v>21</v>
      </c>
      <c r="E72" s="7">
        <v>608.66</v>
      </c>
      <c r="F72" s="3">
        <v>1</v>
      </c>
      <c r="G72" s="3">
        <v>0.05</v>
      </c>
      <c r="H72" s="4">
        <v>45503</v>
      </c>
      <c r="I72" s="3">
        <f t="shared" si="2"/>
        <v>7</v>
      </c>
      <c r="J72" s="7">
        <v>144.56</v>
      </c>
      <c r="L72" s="28">
        <f t="shared" ca="1" si="3"/>
        <v>46276.97319409722</v>
      </c>
    </row>
    <row r="73" spans="1:12" ht="15.75" x14ac:dyDescent="0.25">
      <c r="A73" s="3" t="s">
        <v>68</v>
      </c>
      <c r="B73" s="3" t="s">
        <v>69</v>
      </c>
      <c r="C73" s="3" t="s">
        <v>20</v>
      </c>
      <c r="D73" s="3" t="s">
        <v>39</v>
      </c>
      <c r="E73" s="7">
        <v>981.2</v>
      </c>
      <c r="F73" s="3">
        <v>19</v>
      </c>
      <c r="G73" s="3">
        <v>0</v>
      </c>
      <c r="H73" s="4">
        <v>45504</v>
      </c>
      <c r="I73" s="3">
        <f t="shared" si="2"/>
        <v>7</v>
      </c>
      <c r="J73" s="7">
        <v>441.54</v>
      </c>
      <c r="L73" s="28">
        <f t="shared" ca="1" si="3"/>
        <v>46276.97319409722</v>
      </c>
    </row>
    <row r="74" spans="1:12" ht="15.75" x14ac:dyDescent="0.25">
      <c r="A74" s="3" t="s">
        <v>70</v>
      </c>
      <c r="B74" s="3" t="s">
        <v>55</v>
      </c>
      <c r="C74" s="3" t="s">
        <v>18</v>
      </c>
      <c r="D74" s="3" t="s">
        <v>21</v>
      </c>
      <c r="E74" s="7">
        <v>539.77</v>
      </c>
      <c r="F74" s="3">
        <v>10</v>
      </c>
      <c r="G74" s="3">
        <v>0.15</v>
      </c>
      <c r="H74" s="4">
        <v>45509</v>
      </c>
      <c r="I74" s="3">
        <f t="shared" si="2"/>
        <v>8</v>
      </c>
      <c r="J74" s="7">
        <v>114.7</v>
      </c>
      <c r="L74" s="28">
        <f t="shared" ca="1" si="3"/>
        <v>46276.97319409722</v>
      </c>
    </row>
    <row r="75" spans="1:12" ht="15.75" x14ac:dyDescent="0.25">
      <c r="A75" s="3" t="s">
        <v>13</v>
      </c>
      <c r="B75" s="3" t="s">
        <v>71</v>
      </c>
      <c r="C75" s="3" t="s">
        <v>20</v>
      </c>
      <c r="D75" s="3" t="s">
        <v>12</v>
      </c>
      <c r="E75" s="7">
        <v>804.45</v>
      </c>
      <c r="F75" s="3">
        <v>5</v>
      </c>
      <c r="G75" s="3">
        <v>0.2</v>
      </c>
      <c r="H75" s="4">
        <v>45509</v>
      </c>
      <c r="I75" s="3">
        <f t="shared" si="2"/>
        <v>8</v>
      </c>
      <c r="J75" s="7">
        <v>257.42</v>
      </c>
      <c r="L75" s="28">
        <f t="shared" ca="1" si="3"/>
        <v>46276.97319409722</v>
      </c>
    </row>
    <row r="76" spans="1:12" ht="15.75" x14ac:dyDescent="0.25">
      <c r="A76" s="3" t="s">
        <v>70</v>
      </c>
      <c r="B76" s="3" t="s">
        <v>38</v>
      </c>
      <c r="C76" s="3" t="s">
        <v>11</v>
      </c>
      <c r="D76" s="3" t="s">
        <v>21</v>
      </c>
      <c r="E76" s="7">
        <v>1526.6</v>
      </c>
      <c r="F76" s="3">
        <v>13</v>
      </c>
      <c r="G76" s="3">
        <v>0.2</v>
      </c>
      <c r="H76" s="4">
        <v>45512</v>
      </c>
      <c r="I76" s="3">
        <f t="shared" si="2"/>
        <v>8</v>
      </c>
      <c r="J76" s="7">
        <v>305.32</v>
      </c>
      <c r="L76" s="28">
        <f t="shared" ca="1" si="3"/>
        <v>46276.97319409722</v>
      </c>
    </row>
    <row r="77" spans="1:12" ht="15.75" x14ac:dyDescent="0.25">
      <c r="A77" s="3" t="s">
        <v>13</v>
      </c>
      <c r="B77" s="3" t="s">
        <v>29</v>
      </c>
      <c r="C77" s="3" t="s">
        <v>11</v>
      </c>
      <c r="D77" s="3" t="s">
        <v>21</v>
      </c>
      <c r="E77" s="7">
        <v>1215.26</v>
      </c>
      <c r="F77" s="3">
        <v>5</v>
      </c>
      <c r="G77" s="3">
        <v>0.15</v>
      </c>
      <c r="H77" s="4">
        <v>45513</v>
      </c>
      <c r="I77" s="3">
        <f t="shared" si="2"/>
        <v>8</v>
      </c>
      <c r="J77" s="7">
        <v>258.24</v>
      </c>
      <c r="L77" s="28">
        <f t="shared" ca="1" si="3"/>
        <v>46276.97319409722</v>
      </c>
    </row>
    <row r="78" spans="1:12" ht="15.75" x14ac:dyDescent="0.25">
      <c r="A78" s="3" t="s">
        <v>19</v>
      </c>
      <c r="B78" s="3" t="s">
        <v>53</v>
      </c>
      <c r="C78" s="3" t="s">
        <v>34</v>
      </c>
      <c r="D78" s="3" t="s">
        <v>27</v>
      </c>
      <c r="E78" s="7">
        <v>1261.3399999999999</v>
      </c>
      <c r="F78" s="3">
        <v>3</v>
      </c>
      <c r="G78" s="3">
        <v>0</v>
      </c>
      <c r="H78" s="4">
        <v>45519</v>
      </c>
      <c r="I78" s="3">
        <f t="shared" si="2"/>
        <v>8</v>
      </c>
      <c r="J78" s="7">
        <v>441.47</v>
      </c>
      <c r="L78" s="28">
        <f t="shared" ca="1" si="3"/>
        <v>46276.97319409722</v>
      </c>
    </row>
    <row r="79" spans="1:12" ht="15.75" x14ac:dyDescent="0.25">
      <c r="A79" s="3" t="s">
        <v>72</v>
      </c>
      <c r="B79" s="3" t="s">
        <v>45</v>
      </c>
      <c r="C79" s="3" t="s">
        <v>24</v>
      </c>
      <c r="D79" s="3" t="s">
        <v>27</v>
      </c>
      <c r="E79" s="7">
        <v>518.07000000000005</v>
      </c>
      <c r="F79" s="3">
        <v>7</v>
      </c>
      <c r="G79" s="3">
        <v>0.05</v>
      </c>
      <c r="H79" s="4">
        <v>45522</v>
      </c>
      <c r="I79" s="3">
        <f t="shared" si="2"/>
        <v>8</v>
      </c>
      <c r="J79" s="7">
        <v>172.26</v>
      </c>
      <c r="L79" s="28">
        <f t="shared" ca="1" si="3"/>
        <v>46276.97319409722</v>
      </c>
    </row>
    <row r="80" spans="1:12" ht="15.75" x14ac:dyDescent="0.25">
      <c r="A80" s="3" t="s">
        <v>30</v>
      </c>
      <c r="B80" s="3" t="s">
        <v>29</v>
      </c>
      <c r="C80" s="3" t="s">
        <v>11</v>
      </c>
      <c r="D80" s="3" t="s">
        <v>39</v>
      </c>
      <c r="E80" s="7">
        <v>1111.3399999999999</v>
      </c>
      <c r="F80" s="3">
        <v>1</v>
      </c>
      <c r="G80" s="3">
        <v>0</v>
      </c>
      <c r="H80" s="4">
        <v>45523</v>
      </c>
      <c r="I80" s="3">
        <f t="shared" si="2"/>
        <v>8</v>
      </c>
      <c r="J80" s="7">
        <v>500.1</v>
      </c>
      <c r="L80" s="28">
        <f t="shared" ca="1" si="3"/>
        <v>46276.97319409722</v>
      </c>
    </row>
    <row r="81" spans="1:12" ht="15.75" x14ac:dyDescent="0.25">
      <c r="A81" s="3" t="s">
        <v>22</v>
      </c>
      <c r="B81" s="3" t="s">
        <v>31</v>
      </c>
      <c r="C81" s="3" t="s">
        <v>18</v>
      </c>
      <c r="D81" s="3" t="s">
        <v>15</v>
      </c>
      <c r="E81" s="7">
        <v>1291.47</v>
      </c>
      <c r="F81" s="3">
        <v>18</v>
      </c>
      <c r="G81" s="3">
        <v>0.1</v>
      </c>
      <c r="H81" s="4">
        <v>45526</v>
      </c>
      <c r="I81" s="3">
        <f t="shared" si="2"/>
        <v>8</v>
      </c>
      <c r="J81" s="7">
        <v>581.16</v>
      </c>
      <c r="L81" s="28">
        <f t="shared" ca="1" si="3"/>
        <v>46276.97319409722</v>
      </c>
    </row>
    <row r="82" spans="1:12" ht="15.75" x14ac:dyDescent="0.25">
      <c r="A82" s="3" t="s">
        <v>25</v>
      </c>
      <c r="B82" s="3" t="s">
        <v>55</v>
      </c>
      <c r="C82" s="3" t="s">
        <v>24</v>
      </c>
      <c r="D82" s="3" t="s">
        <v>12</v>
      </c>
      <c r="E82" s="7">
        <v>679.71</v>
      </c>
      <c r="F82" s="3">
        <v>19</v>
      </c>
      <c r="G82" s="3">
        <v>0</v>
      </c>
      <c r="H82" s="4">
        <v>45534</v>
      </c>
      <c r="I82" s="3">
        <f t="shared" si="2"/>
        <v>8</v>
      </c>
      <c r="J82" s="7">
        <v>271.88</v>
      </c>
      <c r="L82" s="28">
        <f t="shared" ca="1" si="3"/>
        <v>46276.97319409722</v>
      </c>
    </row>
    <row r="83" spans="1:12" ht="15.75" x14ac:dyDescent="0.25">
      <c r="A83" s="3" t="s">
        <v>68</v>
      </c>
      <c r="B83" s="3" t="s">
        <v>33</v>
      </c>
      <c r="C83" s="3" t="s">
        <v>18</v>
      </c>
      <c r="D83" s="3" t="s">
        <v>27</v>
      </c>
      <c r="E83" s="7">
        <v>1143.69</v>
      </c>
      <c r="F83" s="3">
        <v>17</v>
      </c>
      <c r="G83" s="3">
        <v>0</v>
      </c>
      <c r="H83" s="4">
        <v>45534</v>
      </c>
      <c r="I83" s="3">
        <f t="shared" si="2"/>
        <v>8</v>
      </c>
      <c r="J83" s="7">
        <v>400.29</v>
      </c>
      <c r="L83" s="28">
        <f t="shared" ca="1" si="3"/>
        <v>46276.97319409722</v>
      </c>
    </row>
    <row r="84" spans="1:12" ht="15.75" x14ac:dyDescent="0.25">
      <c r="A84" s="3" t="s">
        <v>52</v>
      </c>
      <c r="B84" s="3" t="s">
        <v>50</v>
      </c>
      <c r="C84" s="3" t="s">
        <v>34</v>
      </c>
      <c r="D84" s="3" t="s">
        <v>21</v>
      </c>
      <c r="E84" s="7">
        <v>790.08</v>
      </c>
      <c r="F84" s="3">
        <v>7</v>
      </c>
      <c r="G84" s="3">
        <v>0.1</v>
      </c>
      <c r="H84" s="4">
        <v>45536</v>
      </c>
      <c r="I84" s="3">
        <f t="shared" si="2"/>
        <v>9</v>
      </c>
      <c r="J84" s="7">
        <v>177.77</v>
      </c>
      <c r="L84" s="28">
        <f t="shared" ca="1" si="3"/>
        <v>46276.97319409722</v>
      </c>
    </row>
    <row r="85" spans="1:12" ht="15.75" x14ac:dyDescent="0.25">
      <c r="A85" s="3" t="s">
        <v>19</v>
      </c>
      <c r="B85" s="3" t="s">
        <v>48</v>
      </c>
      <c r="C85" s="3" t="s">
        <v>34</v>
      </c>
      <c r="D85" s="3" t="s">
        <v>12</v>
      </c>
      <c r="E85" s="7">
        <v>1070.68</v>
      </c>
      <c r="F85" s="3">
        <v>7</v>
      </c>
      <c r="G85" s="3">
        <v>0.05</v>
      </c>
      <c r="H85" s="4">
        <v>45536</v>
      </c>
      <c r="I85" s="3">
        <f t="shared" si="2"/>
        <v>9</v>
      </c>
      <c r="J85" s="7">
        <v>406.86</v>
      </c>
      <c r="L85" s="28">
        <f t="shared" ca="1" si="3"/>
        <v>46276.97319409722</v>
      </c>
    </row>
    <row r="86" spans="1:12" ht="15.75" x14ac:dyDescent="0.25">
      <c r="A86" s="3" t="s">
        <v>58</v>
      </c>
      <c r="B86" s="3" t="s">
        <v>36</v>
      </c>
      <c r="C86" s="3" t="s">
        <v>11</v>
      </c>
      <c r="D86" s="3" t="s">
        <v>15</v>
      </c>
      <c r="E86" s="7">
        <v>1168.8900000000001</v>
      </c>
      <c r="F86" s="3">
        <v>4</v>
      </c>
      <c r="G86" s="3">
        <v>0.1</v>
      </c>
      <c r="H86" s="4">
        <v>45544</v>
      </c>
      <c r="I86" s="3">
        <f t="shared" si="2"/>
        <v>9</v>
      </c>
      <c r="J86" s="7">
        <v>526</v>
      </c>
      <c r="L86" s="28">
        <f t="shared" ca="1" si="3"/>
        <v>46276.97319409722</v>
      </c>
    </row>
    <row r="87" spans="1:12" ht="15.75" x14ac:dyDescent="0.25">
      <c r="A87" s="3" t="s">
        <v>67</v>
      </c>
      <c r="B87" s="3" t="s">
        <v>10</v>
      </c>
      <c r="C87" s="3" t="s">
        <v>20</v>
      </c>
      <c r="D87" s="3" t="s">
        <v>21</v>
      </c>
      <c r="E87" s="7">
        <v>1335.87</v>
      </c>
      <c r="F87" s="3">
        <v>17</v>
      </c>
      <c r="G87" s="3">
        <v>0</v>
      </c>
      <c r="H87" s="4">
        <v>45544</v>
      </c>
      <c r="I87" s="3">
        <f t="shared" si="2"/>
        <v>9</v>
      </c>
      <c r="J87" s="7">
        <v>333.97</v>
      </c>
      <c r="L87" s="28">
        <f t="shared" ca="1" si="3"/>
        <v>46276.97319409722</v>
      </c>
    </row>
    <row r="88" spans="1:12" ht="15.75" x14ac:dyDescent="0.25">
      <c r="A88" s="3" t="s">
        <v>40</v>
      </c>
      <c r="B88" s="3" t="s">
        <v>55</v>
      </c>
      <c r="C88" s="3" t="s">
        <v>18</v>
      </c>
      <c r="D88" s="3" t="s">
        <v>27</v>
      </c>
      <c r="E88" s="7">
        <v>873.7</v>
      </c>
      <c r="F88" s="3">
        <v>9</v>
      </c>
      <c r="G88" s="3">
        <v>0</v>
      </c>
      <c r="H88" s="4">
        <v>45546</v>
      </c>
      <c r="I88" s="3">
        <f t="shared" si="2"/>
        <v>9</v>
      </c>
      <c r="J88" s="7">
        <v>305.8</v>
      </c>
      <c r="L88" s="28">
        <f t="shared" ca="1" si="3"/>
        <v>46276.97319409722</v>
      </c>
    </row>
    <row r="89" spans="1:12" ht="15.75" x14ac:dyDescent="0.25">
      <c r="A89" s="3" t="s">
        <v>72</v>
      </c>
      <c r="B89" s="3" t="s">
        <v>64</v>
      </c>
      <c r="C89" s="3" t="s">
        <v>11</v>
      </c>
      <c r="D89" s="3" t="s">
        <v>39</v>
      </c>
      <c r="E89" s="7">
        <v>1443.98</v>
      </c>
      <c r="F89" s="3">
        <v>19</v>
      </c>
      <c r="G89" s="3">
        <v>0</v>
      </c>
      <c r="H89" s="4">
        <v>45547</v>
      </c>
      <c r="I89" s="3">
        <f t="shared" si="2"/>
        <v>9</v>
      </c>
      <c r="J89" s="7">
        <v>649.79</v>
      </c>
      <c r="L89" s="28">
        <f t="shared" ca="1" si="3"/>
        <v>46276.97319409722</v>
      </c>
    </row>
    <row r="90" spans="1:12" ht="15.75" x14ac:dyDescent="0.25">
      <c r="A90" s="3" t="s">
        <v>40</v>
      </c>
      <c r="B90" s="3" t="s">
        <v>23</v>
      </c>
      <c r="C90" s="3" t="s">
        <v>18</v>
      </c>
      <c r="D90" s="3" t="s">
        <v>39</v>
      </c>
      <c r="E90" s="7">
        <v>1154.33</v>
      </c>
      <c r="F90" s="3">
        <v>11</v>
      </c>
      <c r="G90" s="3">
        <v>0.15</v>
      </c>
      <c r="H90" s="4">
        <v>45549</v>
      </c>
      <c r="I90" s="3">
        <f t="shared" si="2"/>
        <v>9</v>
      </c>
      <c r="J90" s="7">
        <v>441.53</v>
      </c>
      <c r="L90" s="28">
        <f t="shared" ca="1" si="3"/>
        <v>46276.97319409722</v>
      </c>
    </row>
    <row r="91" spans="1:12" ht="15.75" x14ac:dyDescent="0.25">
      <c r="A91" s="3" t="s">
        <v>49</v>
      </c>
      <c r="B91" s="3" t="s">
        <v>50</v>
      </c>
      <c r="C91" s="3" t="s">
        <v>20</v>
      </c>
      <c r="D91" s="3" t="s">
        <v>12</v>
      </c>
      <c r="E91" s="7">
        <v>1264.49</v>
      </c>
      <c r="F91" s="3">
        <v>16</v>
      </c>
      <c r="G91" s="3">
        <v>0.05</v>
      </c>
      <c r="H91" s="4">
        <v>45549</v>
      </c>
      <c r="I91" s="3">
        <f t="shared" si="2"/>
        <v>9</v>
      </c>
      <c r="J91" s="7">
        <v>480.51</v>
      </c>
      <c r="L91" s="28">
        <f t="shared" ca="1" si="3"/>
        <v>46276.97319409722</v>
      </c>
    </row>
    <row r="92" spans="1:12" ht="15.75" x14ac:dyDescent="0.25">
      <c r="A92" s="3" t="s">
        <v>25</v>
      </c>
      <c r="B92" s="3" t="s">
        <v>66</v>
      </c>
      <c r="C92" s="3" t="s">
        <v>11</v>
      </c>
      <c r="D92" s="3" t="s">
        <v>27</v>
      </c>
      <c r="E92" s="7">
        <v>1101.55</v>
      </c>
      <c r="F92" s="3">
        <v>4</v>
      </c>
      <c r="G92" s="3">
        <v>0.1</v>
      </c>
      <c r="H92" s="4">
        <v>45551</v>
      </c>
      <c r="I92" s="3">
        <f t="shared" si="2"/>
        <v>9</v>
      </c>
      <c r="J92" s="7">
        <v>346.99</v>
      </c>
      <c r="L92" s="28">
        <f t="shared" ca="1" si="3"/>
        <v>46276.97319409722</v>
      </c>
    </row>
    <row r="93" spans="1:12" ht="15.75" x14ac:dyDescent="0.25">
      <c r="A93" s="3" t="s">
        <v>73</v>
      </c>
      <c r="B93" s="3" t="s">
        <v>14</v>
      </c>
      <c r="C93" s="3" t="s">
        <v>20</v>
      </c>
      <c r="D93" s="3" t="s">
        <v>27</v>
      </c>
      <c r="E93" s="7">
        <v>727.73</v>
      </c>
      <c r="F93" s="3">
        <v>1</v>
      </c>
      <c r="G93" s="3">
        <v>0.1</v>
      </c>
      <c r="H93" s="4">
        <v>45552</v>
      </c>
      <c r="I93" s="3">
        <f t="shared" si="2"/>
        <v>9</v>
      </c>
      <c r="J93" s="7">
        <v>229.23</v>
      </c>
      <c r="L93" s="28">
        <f t="shared" ca="1" si="3"/>
        <v>46276.97319409722</v>
      </c>
    </row>
    <row r="94" spans="1:12" ht="15.75" x14ac:dyDescent="0.25">
      <c r="A94" s="3" t="s">
        <v>74</v>
      </c>
      <c r="B94" s="3" t="s">
        <v>38</v>
      </c>
      <c r="C94" s="3" t="s">
        <v>18</v>
      </c>
      <c r="D94" s="3" t="s">
        <v>39</v>
      </c>
      <c r="E94" s="7">
        <v>875.41</v>
      </c>
      <c r="F94" s="3">
        <v>13</v>
      </c>
      <c r="G94" s="3">
        <v>0.15</v>
      </c>
      <c r="H94" s="4">
        <v>45552</v>
      </c>
      <c r="I94" s="3">
        <f t="shared" si="2"/>
        <v>9</v>
      </c>
      <c r="J94" s="7">
        <v>334.84</v>
      </c>
      <c r="L94" s="28">
        <f t="shared" ca="1" si="3"/>
        <v>46276.97319409722</v>
      </c>
    </row>
    <row r="95" spans="1:12" ht="15.75" x14ac:dyDescent="0.25">
      <c r="A95" s="3" t="s">
        <v>67</v>
      </c>
      <c r="B95" s="3" t="s">
        <v>23</v>
      </c>
      <c r="C95" s="3" t="s">
        <v>11</v>
      </c>
      <c r="D95" s="3" t="s">
        <v>21</v>
      </c>
      <c r="E95" s="7">
        <v>1158.94</v>
      </c>
      <c r="F95" s="3">
        <v>19</v>
      </c>
      <c r="G95" s="3">
        <v>0.2</v>
      </c>
      <c r="H95" s="4">
        <v>45553</v>
      </c>
      <c r="I95" s="3">
        <f t="shared" si="2"/>
        <v>9</v>
      </c>
      <c r="J95" s="7">
        <v>231.79</v>
      </c>
      <c r="L95" s="28">
        <f t="shared" ca="1" si="3"/>
        <v>46276.97319409722</v>
      </c>
    </row>
    <row r="96" spans="1:12" ht="15.75" x14ac:dyDescent="0.25">
      <c r="A96" s="3" t="s">
        <v>75</v>
      </c>
      <c r="B96" s="3" t="s">
        <v>47</v>
      </c>
      <c r="C96" s="3" t="s">
        <v>20</v>
      </c>
      <c r="D96" s="3" t="s">
        <v>12</v>
      </c>
      <c r="E96" s="7">
        <v>966.3</v>
      </c>
      <c r="F96" s="3">
        <v>2</v>
      </c>
      <c r="G96" s="3">
        <v>0.15</v>
      </c>
      <c r="H96" s="4">
        <v>45557</v>
      </c>
      <c r="I96" s="3">
        <f t="shared" si="2"/>
        <v>9</v>
      </c>
      <c r="J96" s="7">
        <v>328.54</v>
      </c>
      <c r="L96" s="28">
        <f t="shared" ca="1" si="3"/>
        <v>46276.97319409722</v>
      </c>
    </row>
    <row r="97" spans="1:12" ht="15.75" x14ac:dyDescent="0.25">
      <c r="A97" s="3" t="s">
        <v>68</v>
      </c>
      <c r="B97" s="3" t="s">
        <v>17</v>
      </c>
      <c r="C97" s="3" t="s">
        <v>20</v>
      </c>
      <c r="D97" s="3" t="s">
        <v>12</v>
      </c>
      <c r="E97" s="7">
        <v>917.48</v>
      </c>
      <c r="F97" s="3">
        <v>6</v>
      </c>
      <c r="G97" s="3">
        <v>0</v>
      </c>
      <c r="H97" s="4">
        <v>45558</v>
      </c>
      <c r="I97" s="3">
        <f t="shared" si="2"/>
        <v>9</v>
      </c>
      <c r="J97" s="7">
        <v>366.99</v>
      </c>
      <c r="L97" s="28">
        <f t="shared" ca="1" si="3"/>
        <v>46276.97319409722</v>
      </c>
    </row>
    <row r="98" spans="1:12" ht="15.75" x14ac:dyDescent="0.25">
      <c r="A98" s="3" t="s">
        <v>41</v>
      </c>
      <c r="B98" s="3" t="s">
        <v>61</v>
      </c>
      <c r="C98" s="3" t="s">
        <v>11</v>
      </c>
      <c r="D98" s="3" t="s">
        <v>27</v>
      </c>
      <c r="E98" s="7">
        <v>1172.97</v>
      </c>
      <c r="F98" s="3">
        <v>7</v>
      </c>
      <c r="G98" s="3">
        <v>0.15</v>
      </c>
      <c r="H98" s="4">
        <v>45559</v>
      </c>
      <c r="I98" s="3">
        <f t="shared" si="2"/>
        <v>9</v>
      </c>
      <c r="J98" s="7">
        <v>348.96</v>
      </c>
      <c r="L98" s="28">
        <f t="shared" ca="1" si="3"/>
        <v>46276.97319409722</v>
      </c>
    </row>
    <row r="99" spans="1:12" ht="15.75" x14ac:dyDescent="0.25">
      <c r="A99" s="3" t="s">
        <v>57</v>
      </c>
      <c r="B99" s="3" t="s">
        <v>23</v>
      </c>
      <c r="C99" s="3" t="s">
        <v>24</v>
      </c>
      <c r="D99" s="3" t="s">
        <v>15</v>
      </c>
      <c r="E99" s="7">
        <v>1205.82</v>
      </c>
      <c r="F99" s="3">
        <v>11</v>
      </c>
      <c r="G99" s="3">
        <v>0.1</v>
      </c>
      <c r="H99" s="4">
        <v>45559</v>
      </c>
      <c r="I99" s="3">
        <f t="shared" si="2"/>
        <v>9</v>
      </c>
      <c r="J99" s="7">
        <v>542.62</v>
      </c>
      <c r="L99" s="28">
        <f t="shared" ca="1" si="3"/>
        <v>46276.97319409722</v>
      </c>
    </row>
    <row r="100" spans="1:12" ht="15.75" x14ac:dyDescent="0.25">
      <c r="A100" s="3" t="s">
        <v>16</v>
      </c>
      <c r="B100" s="3" t="s">
        <v>64</v>
      </c>
      <c r="C100" s="3" t="s">
        <v>11</v>
      </c>
      <c r="D100" s="3" t="s">
        <v>39</v>
      </c>
      <c r="E100" s="7">
        <v>826.93</v>
      </c>
      <c r="F100" s="3">
        <v>10</v>
      </c>
      <c r="G100" s="3">
        <v>0.2</v>
      </c>
      <c r="H100" s="4">
        <v>45564</v>
      </c>
      <c r="I100" s="3">
        <f t="shared" si="2"/>
        <v>9</v>
      </c>
      <c r="J100" s="7">
        <v>297.69</v>
      </c>
      <c r="L100" s="28">
        <f t="shared" ca="1" si="3"/>
        <v>46276.97319409722</v>
      </c>
    </row>
    <row r="101" spans="1:12" ht="15.75" x14ac:dyDescent="0.25">
      <c r="A101" s="3" t="s">
        <v>67</v>
      </c>
      <c r="B101" s="3" t="s">
        <v>23</v>
      </c>
      <c r="C101" s="3" t="s">
        <v>34</v>
      </c>
      <c r="D101" s="3" t="s">
        <v>15</v>
      </c>
      <c r="E101" s="7">
        <v>902.19</v>
      </c>
      <c r="F101" s="3">
        <v>12</v>
      </c>
      <c r="G101" s="3">
        <v>0</v>
      </c>
      <c r="H101" s="4">
        <v>45564</v>
      </c>
      <c r="I101" s="3">
        <f t="shared" si="2"/>
        <v>9</v>
      </c>
      <c r="J101" s="7">
        <v>451.1</v>
      </c>
      <c r="L101" s="28">
        <f t="shared" ca="1" si="3"/>
        <v>46276.97319409722</v>
      </c>
    </row>
    <row r="102" spans="1:12" ht="15.75" x14ac:dyDescent="0.25">
      <c r="A102" s="3" t="s">
        <v>74</v>
      </c>
      <c r="B102" s="3" t="s">
        <v>38</v>
      </c>
      <c r="C102" s="3" t="s">
        <v>24</v>
      </c>
      <c r="D102" s="3" t="s">
        <v>12</v>
      </c>
      <c r="E102" s="7">
        <v>585.97</v>
      </c>
      <c r="F102" s="3">
        <v>17</v>
      </c>
      <c r="G102" s="3">
        <v>0.1</v>
      </c>
      <c r="H102" s="4">
        <v>45565</v>
      </c>
      <c r="I102" s="3">
        <f t="shared" si="2"/>
        <v>9</v>
      </c>
      <c r="J102" s="7">
        <v>210.95</v>
      </c>
      <c r="L102" s="28">
        <f t="shared" ca="1" si="3"/>
        <v>46276.97319409722</v>
      </c>
    </row>
    <row r="103" spans="1:12" ht="15.75" x14ac:dyDescent="0.25">
      <c r="A103" s="3" t="s">
        <v>60</v>
      </c>
      <c r="B103" s="3" t="s">
        <v>26</v>
      </c>
      <c r="C103" s="3" t="s">
        <v>24</v>
      </c>
      <c r="D103" s="3" t="s">
        <v>15</v>
      </c>
      <c r="E103" s="7">
        <v>990.19</v>
      </c>
      <c r="F103" s="3">
        <v>8</v>
      </c>
      <c r="G103" s="3">
        <v>0.1</v>
      </c>
      <c r="H103" s="4">
        <v>45565</v>
      </c>
      <c r="I103" s="3">
        <f t="shared" si="2"/>
        <v>9</v>
      </c>
      <c r="J103" s="7">
        <v>445.59</v>
      </c>
      <c r="L103" s="28">
        <f t="shared" ca="1" si="3"/>
        <v>46276.97319409722</v>
      </c>
    </row>
    <row r="104" spans="1:12" ht="15.75" x14ac:dyDescent="0.25">
      <c r="A104" s="3" t="s">
        <v>44</v>
      </c>
      <c r="B104" s="3" t="s">
        <v>56</v>
      </c>
      <c r="C104" s="3" t="s">
        <v>34</v>
      </c>
      <c r="D104" s="3" t="s">
        <v>21</v>
      </c>
      <c r="E104" s="7">
        <v>1014.09</v>
      </c>
      <c r="F104" s="3">
        <v>13</v>
      </c>
      <c r="G104" s="3">
        <v>0.2</v>
      </c>
      <c r="H104" s="4">
        <v>45567</v>
      </c>
      <c r="I104" s="3">
        <f t="shared" si="2"/>
        <v>10</v>
      </c>
      <c r="J104" s="7">
        <v>202.82</v>
      </c>
      <c r="L104" s="28">
        <f t="shared" ca="1" si="3"/>
        <v>46276.97319409722</v>
      </c>
    </row>
    <row r="105" spans="1:12" ht="15.75" x14ac:dyDescent="0.25">
      <c r="A105" s="3" t="s">
        <v>13</v>
      </c>
      <c r="B105" s="3" t="s">
        <v>48</v>
      </c>
      <c r="C105" s="3" t="s">
        <v>24</v>
      </c>
      <c r="D105" s="3" t="s">
        <v>21</v>
      </c>
      <c r="E105" s="7">
        <v>925.29</v>
      </c>
      <c r="F105" s="3">
        <v>17</v>
      </c>
      <c r="G105" s="3">
        <v>0</v>
      </c>
      <c r="H105" s="4">
        <v>45570</v>
      </c>
      <c r="I105" s="3">
        <f t="shared" si="2"/>
        <v>10</v>
      </c>
      <c r="J105" s="7">
        <v>231.32</v>
      </c>
      <c r="L105" s="28">
        <f t="shared" ca="1" si="3"/>
        <v>46276.97319409722</v>
      </c>
    </row>
    <row r="106" spans="1:12" ht="15.75" x14ac:dyDescent="0.25">
      <c r="A106" s="3" t="s">
        <v>54</v>
      </c>
      <c r="B106" s="3" t="s">
        <v>47</v>
      </c>
      <c r="C106" s="3" t="s">
        <v>18</v>
      </c>
      <c r="D106" s="3" t="s">
        <v>27</v>
      </c>
      <c r="E106" s="7">
        <v>1286.54</v>
      </c>
      <c r="F106" s="3">
        <v>8</v>
      </c>
      <c r="G106" s="3">
        <v>0</v>
      </c>
      <c r="H106" s="4">
        <v>45575</v>
      </c>
      <c r="I106" s="3">
        <f t="shared" si="2"/>
        <v>10</v>
      </c>
      <c r="J106" s="7">
        <v>450.29</v>
      </c>
      <c r="L106" s="28">
        <f t="shared" ca="1" si="3"/>
        <v>46276.97319409722</v>
      </c>
    </row>
    <row r="107" spans="1:12" ht="15.75" x14ac:dyDescent="0.25">
      <c r="A107" s="3" t="s">
        <v>37</v>
      </c>
      <c r="B107" s="3" t="s">
        <v>64</v>
      </c>
      <c r="C107" s="3" t="s">
        <v>20</v>
      </c>
      <c r="D107" s="3" t="s">
        <v>12</v>
      </c>
      <c r="E107" s="7">
        <v>961.62</v>
      </c>
      <c r="F107" s="3">
        <v>8</v>
      </c>
      <c r="G107" s="3">
        <v>0.2</v>
      </c>
      <c r="H107" s="4">
        <v>45577</v>
      </c>
      <c r="I107" s="3">
        <f t="shared" si="2"/>
        <v>10</v>
      </c>
      <c r="J107" s="7">
        <v>307.72000000000003</v>
      </c>
      <c r="L107" s="28">
        <f t="shared" ca="1" si="3"/>
        <v>46276.97319409722</v>
      </c>
    </row>
    <row r="108" spans="1:12" ht="15.75" x14ac:dyDescent="0.25">
      <c r="A108" s="3" t="s">
        <v>44</v>
      </c>
      <c r="B108" s="3" t="s">
        <v>23</v>
      </c>
      <c r="C108" s="3" t="s">
        <v>18</v>
      </c>
      <c r="D108" s="3" t="s">
        <v>12</v>
      </c>
      <c r="E108" s="7">
        <v>1081.1400000000001</v>
      </c>
      <c r="F108" s="3">
        <v>19</v>
      </c>
      <c r="G108" s="3">
        <v>0.15</v>
      </c>
      <c r="H108" s="4">
        <v>45577</v>
      </c>
      <c r="I108" s="3">
        <f t="shared" si="2"/>
        <v>10</v>
      </c>
      <c r="J108" s="7">
        <v>367.59</v>
      </c>
      <c r="L108" s="28">
        <f t="shared" ca="1" si="3"/>
        <v>46276.97319409722</v>
      </c>
    </row>
    <row r="109" spans="1:12" ht="15.75" x14ac:dyDescent="0.25">
      <c r="A109" s="3" t="s">
        <v>58</v>
      </c>
      <c r="B109" s="3" t="s">
        <v>23</v>
      </c>
      <c r="C109" s="3" t="s">
        <v>11</v>
      </c>
      <c r="D109" s="3" t="s">
        <v>15</v>
      </c>
      <c r="E109" s="7">
        <v>1923.66</v>
      </c>
      <c r="F109" s="3">
        <v>9</v>
      </c>
      <c r="G109" s="3">
        <v>0.2</v>
      </c>
      <c r="H109" s="4">
        <v>45580</v>
      </c>
      <c r="I109" s="3">
        <f t="shared" si="2"/>
        <v>10</v>
      </c>
      <c r="J109" s="7">
        <v>769.46</v>
      </c>
      <c r="L109" s="28">
        <f t="shared" ca="1" si="3"/>
        <v>46276.97319409722</v>
      </c>
    </row>
    <row r="110" spans="1:12" ht="15.75" x14ac:dyDescent="0.25">
      <c r="A110" s="3" t="s">
        <v>54</v>
      </c>
      <c r="B110" s="3" t="s">
        <v>66</v>
      </c>
      <c r="C110" s="3" t="s">
        <v>34</v>
      </c>
      <c r="D110" s="3" t="s">
        <v>15</v>
      </c>
      <c r="E110" s="7">
        <v>728.71</v>
      </c>
      <c r="F110" s="3">
        <v>14</v>
      </c>
      <c r="G110" s="3">
        <v>0.1</v>
      </c>
      <c r="H110" s="4">
        <v>45581</v>
      </c>
      <c r="I110" s="3">
        <f t="shared" si="2"/>
        <v>10</v>
      </c>
      <c r="J110" s="7">
        <v>327.92</v>
      </c>
      <c r="L110" s="28">
        <f t="shared" ca="1" si="3"/>
        <v>46276.97319409722</v>
      </c>
    </row>
    <row r="111" spans="1:12" ht="15.75" x14ac:dyDescent="0.25">
      <c r="A111" s="3" t="s">
        <v>9</v>
      </c>
      <c r="B111" s="3" t="s">
        <v>33</v>
      </c>
      <c r="C111" s="3" t="s">
        <v>34</v>
      </c>
      <c r="D111" s="3" t="s">
        <v>15</v>
      </c>
      <c r="E111" s="7">
        <v>1301.8900000000001</v>
      </c>
      <c r="F111" s="3">
        <v>7</v>
      </c>
      <c r="G111" s="3">
        <v>0.15</v>
      </c>
      <c r="H111" s="4">
        <v>45581</v>
      </c>
      <c r="I111" s="3">
        <f t="shared" si="2"/>
        <v>10</v>
      </c>
      <c r="J111" s="7">
        <v>553.29999999999995</v>
      </c>
      <c r="L111" s="28">
        <f t="shared" ca="1" si="3"/>
        <v>46276.97319409722</v>
      </c>
    </row>
    <row r="112" spans="1:12" ht="15.75" x14ac:dyDescent="0.25">
      <c r="A112" s="3" t="s">
        <v>70</v>
      </c>
      <c r="B112" s="3" t="s">
        <v>66</v>
      </c>
      <c r="C112" s="3" t="s">
        <v>18</v>
      </c>
      <c r="D112" s="3" t="s">
        <v>12</v>
      </c>
      <c r="E112" s="7">
        <v>980.18</v>
      </c>
      <c r="F112" s="3">
        <v>16</v>
      </c>
      <c r="G112" s="3">
        <v>0.1</v>
      </c>
      <c r="H112" s="4">
        <v>45582</v>
      </c>
      <c r="I112" s="3">
        <f t="shared" si="2"/>
        <v>10</v>
      </c>
      <c r="J112" s="7">
        <v>352.86</v>
      </c>
      <c r="L112" s="28">
        <f t="shared" ca="1" si="3"/>
        <v>46276.97319409722</v>
      </c>
    </row>
    <row r="113" spans="1:12" ht="15.75" x14ac:dyDescent="0.25">
      <c r="A113" s="3" t="s">
        <v>74</v>
      </c>
      <c r="B113" s="3" t="s">
        <v>23</v>
      </c>
      <c r="C113" s="3" t="s">
        <v>11</v>
      </c>
      <c r="D113" s="3" t="s">
        <v>15</v>
      </c>
      <c r="E113" s="7">
        <v>697.57</v>
      </c>
      <c r="F113" s="3">
        <v>17</v>
      </c>
      <c r="G113" s="3">
        <v>0.1</v>
      </c>
      <c r="H113" s="4">
        <v>45584</v>
      </c>
      <c r="I113" s="3">
        <f t="shared" si="2"/>
        <v>10</v>
      </c>
      <c r="J113" s="7">
        <v>313.91000000000003</v>
      </c>
      <c r="L113" s="28">
        <f t="shared" ca="1" si="3"/>
        <v>46276.97319409722</v>
      </c>
    </row>
    <row r="114" spans="1:12" ht="15.75" x14ac:dyDescent="0.25">
      <c r="A114" s="3" t="s">
        <v>46</v>
      </c>
      <c r="B114" s="3" t="s">
        <v>71</v>
      </c>
      <c r="C114" s="3" t="s">
        <v>11</v>
      </c>
      <c r="D114" s="3" t="s">
        <v>27</v>
      </c>
      <c r="E114" s="7">
        <v>1193.6099999999999</v>
      </c>
      <c r="F114" s="3">
        <v>1</v>
      </c>
      <c r="G114" s="3">
        <v>0.15</v>
      </c>
      <c r="H114" s="4">
        <v>45584</v>
      </c>
      <c r="I114" s="3">
        <f t="shared" si="2"/>
        <v>10</v>
      </c>
      <c r="J114" s="7">
        <v>355.1</v>
      </c>
      <c r="L114" s="28">
        <f t="shared" ca="1" si="3"/>
        <v>46276.97319409722</v>
      </c>
    </row>
    <row r="115" spans="1:12" ht="15.75" x14ac:dyDescent="0.25">
      <c r="A115" s="3" t="s">
        <v>32</v>
      </c>
      <c r="B115" s="3" t="s">
        <v>38</v>
      </c>
      <c r="C115" s="3" t="s">
        <v>20</v>
      </c>
      <c r="D115" s="3" t="s">
        <v>21</v>
      </c>
      <c r="E115" s="7">
        <v>771.02</v>
      </c>
      <c r="F115" s="3">
        <v>1</v>
      </c>
      <c r="G115" s="3">
        <v>0</v>
      </c>
      <c r="H115" s="4">
        <v>45585</v>
      </c>
      <c r="I115" s="3">
        <f t="shared" si="2"/>
        <v>10</v>
      </c>
      <c r="J115" s="7">
        <v>192.76</v>
      </c>
      <c r="L115" s="28">
        <f t="shared" ca="1" si="3"/>
        <v>46276.97319409722</v>
      </c>
    </row>
    <row r="116" spans="1:12" ht="15.75" x14ac:dyDescent="0.25">
      <c r="A116" s="3" t="s">
        <v>67</v>
      </c>
      <c r="B116" s="3" t="s">
        <v>69</v>
      </c>
      <c r="C116" s="3" t="s">
        <v>24</v>
      </c>
      <c r="D116" s="3" t="s">
        <v>15</v>
      </c>
      <c r="E116" s="7">
        <v>661.09</v>
      </c>
      <c r="F116" s="3">
        <v>1</v>
      </c>
      <c r="G116" s="3">
        <v>0.2</v>
      </c>
      <c r="H116" s="4">
        <v>45593</v>
      </c>
      <c r="I116" s="3">
        <f t="shared" si="2"/>
        <v>10</v>
      </c>
      <c r="J116" s="7">
        <v>264.44</v>
      </c>
      <c r="L116" s="28">
        <f t="shared" ca="1" si="3"/>
        <v>46276.97319409722</v>
      </c>
    </row>
    <row r="117" spans="1:12" ht="15.75" x14ac:dyDescent="0.25">
      <c r="A117" s="3" t="s">
        <v>13</v>
      </c>
      <c r="B117" s="3" t="s">
        <v>55</v>
      </c>
      <c r="C117" s="3" t="s">
        <v>11</v>
      </c>
      <c r="D117" s="3" t="s">
        <v>21</v>
      </c>
      <c r="E117" s="7">
        <v>688.83</v>
      </c>
      <c r="F117" s="3">
        <v>15</v>
      </c>
      <c r="G117" s="3">
        <v>0</v>
      </c>
      <c r="H117" s="4">
        <v>45595</v>
      </c>
      <c r="I117" s="3">
        <f t="shared" si="2"/>
        <v>10</v>
      </c>
      <c r="J117" s="7">
        <v>172.21</v>
      </c>
      <c r="L117" s="28">
        <f t="shared" ca="1" si="3"/>
        <v>46276.97319409722</v>
      </c>
    </row>
    <row r="118" spans="1:12" ht="15.75" x14ac:dyDescent="0.25">
      <c r="A118" s="3" t="s">
        <v>73</v>
      </c>
      <c r="B118" s="3" t="s">
        <v>29</v>
      </c>
      <c r="C118" s="3" t="s">
        <v>34</v>
      </c>
      <c r="D118" s="3" t="s">
        <v>12</v>
      </c>
      <c r="E118" s="7">
        <v>1249.0999999999999</v>
      </c>
      <c r="F118" s="3">
        <v>4</v>
      </c>
      <c r="G118" s="3">
        <v>0.05</v>
      </c>
      <c r="H118" s="4">
        <v>45597</v>
      </c>
      <c r="I118" s="3">
        <f t="shared" si="2"/>
        <v>11</v>
      </c>
      <c r="J118" s="7">
        <v>474.66</v>
      </c>
      <c r="L118" s="28">
        <f t="shared" ca="1" si="3"/>
        <v>46276.97319409722</v>
      </c>
    </row>
    <row r="119" spans="1:12" ht="15.75" x14ac:dyDescent="0.25">
      <c r="A119" s="3" t="s">
        <v>44</v>
      </c>
      <c r="B119" s="3" t="s">
        <v>23</v>
      </c>
      <c r="C119" s="3" t="s">
        <v>18</v>
      </c>
      <c r="D119" s="3" t="s">
        <v>39</v>
      </c>
      <c r="E119" s="7">
        <v>1014.22</v>
      </c>
      <c r="F119" s="3">
        <v>14</v>
      </c>
      <c r="G119" s="3">
        <v>0.05</v>
      </c>
      <c r="H119" s="4">
        <v>45599</v>
      </c>
      <c r="I119" s="3">
        <f t="shared" si="2"/>
        <v>11</v>
      </c>
      <c r="J119" s="7">
        <v>433.58</v>
      </c>
      <c r="L119" s="28">
        <f t="shared" ca="1" si="3"/>
        <v>46276.97319409722</v>
      </c>
    </row>
    <row r="120" spans="1:12" ht="15.75" x14ac:dyDescent="0.25">
      <c r="A120" s="3" t="s">
        <v>54</v>
      </c>
      <c r="B120" s="3" t="s">
        <v>48</v>
      </c>
      <c r="C120" s="3" t="s">
        <v>18</v>
      </c>
      <c r="D120" s="3" t="s">
        <v>12</v>
      </c>
      <c r="E120" s="7">
        <v>1010.58</v>
      </c>
      <c r="F120" s="3">
        <v>2</v>
      </c>
      <c r="G120" s="3">
        <v>0.15</v>
      </c>
      <c r="H120" s="4">
        <v>45605</v>
      </c>
      <c r="I120" s="3">
        <f t="shared" si="2"/>
        <v>11</v>
      </c>
      <c r="J120" s="7">
        <v>343.6</v>
      </c>
      <c r="L120" s="28">
        <f t="shared" ca="1" si="3"/>
        <v>46276.97319409722</v>
      </c>
    </row>
    <row r="121" spans="1:12" ht="15.75" x14ac:dyDescent="0.25">
      <c r="A121" s="3" t="s">
        <v>30</v>
      </c>
      <c r="B121" s="3" t="s">
        <v>59</v>
      </c>
      <c r="C121" s="3" t="s">
        <v>24</v>
      </c>
      <c r="D121" s="3" t="s">
        <v>27</v>
      </c>
      <c r="E121" s="7">
        <v>957.29</v>
      </c>
      <c r="F121" s="3">
        <v>4</v>
      </c>
      <c r="G121" s="3">
        <v>0.05</v>
      </c>
      <c r="H121" s="4">
        <v>45605</v>
      </c>
      <c r="I121" s="3">
        <f t="shared" si="2"/>
        <v>11</v>
      </c>
      <c r="J121" s="7">
        <v>318.3</v>
      </c>
      <c r="L121" s="28">
        <f t="shared" ca="1" si="3"/>
        <v>46276.97319409722</v>
      </c>
    </row>
    <row r="122" spans="1:12" ht="15.75" x14ac:dyDescent="0.25">
      <c r="A122" s="3" t="s">
        <v>28</v>
      </c>
      <c r="B122" s="3" t="s">
        <v>45</v>
      </c>
      <c r="C122" s="3" t="s">
        <v>24</v>
      </c>
      <c r="D122" s="3" t="s">
        <v>27</v>
      </c>
      <c r="E122" s="7">
        <v>1077.92</v>
      </c>
      <c r="F122" s="3">
        <v>3</v>
      </c>
      <c r="G122" s="3">
        <v>0.05</v>
      </c>
      <c r="H122" s="4">
        <v>45608</v>
      </c>
      <c r="I122" s="3">
        <f t="shared" si="2"/>
        <v>11</v>
      </c>
      <c r="J122" s="7">
        <v>358.41</v>
      </c>
      <c r="L122" s="28">
        <f t="shared" ca="1" si="3"/>
        <v>46276.97319409722</v>
      </c>
    </row>
    <row r="123" spans="1:12" ht="15.75" x14ac:dyDescent="0.25">
      <c r="A123" s="3" t="s">
        <v>52</v>
      </c>
      <c r="B123" s="3" t="s">
        <v>50</v>
      </c>
      <c r="C123" s="3" t="s">
        <v>20</v>
      </c>
      <c r="D123" s="3" t="s">
        <v>15</v>
      </c>
      <c r="E123" s="7">
        <v>1163.01</v>
      </c>
      <c r="F123" s="3">
        <v>5</v>
      </c>
      <c r="G123" s="3">
        <v>0</v>
      </c>
      <c r="H123" s="4">
        <v>45611</v>
      </c>
      <c r="I123" s="3">
        <f t="shared" si="2"/>
        <v>11</v>
      </c>
      <c r="J123" s="7">
        <v>581.5</v>
      </c>
      <c r="L123" s="28">
        <f t="shared" ca="1" si="3"/>
        <v>46276.97319409722</v>
      </c>
    </row>
    <row r="124" spans="1:12" ht="15.75" x14ac:dyDescent="0.25">
      <c r="A124" s="3" t="s">
        <v>54</v>
      </c>
      <c r="B124" s="3" t="s">
        <v>45</v>
      </c>
      <c r="C124" s="3" t="s">
        <v>18</v>
      </c>
      <c r="D124" s="3" t="s">
        <v>39</v>
      </c>
      <c r="E124" s="7">
        <v>1014.56</v>
      </c>
      <c r="F124" s="3">
        <v>10</v>
      </c>
      <c r="G124" s="3">
        <v>0.1</v>
      </c>
      <c r="H124" s="4">
        <v>45612</v>
      </c>
      <c r="I124" s="3">
        <f t="shared" si="2"/>
        <v>11</v>
      </c>
      <c r="J124" s="7">
        <v>410.9</v>
      </c>
      <c r="L124" s="28">
        <f t="shared" ca="1" si="3"/>
        <v>46276.97319409722</v>
      </c>
    </row>
    <row r="125" spans="1:12" ht="15.75" x14ac:dyDescent="0.25">
      <c r="A125" s="3" t="s">
        <v>9</v>
      </c>
      <c r="B125" s="3" t="s">
        <v>17</v>
      </c>
      <c r="C125" s="3" t="s">
        <v>20</v>
      </c>
      <c r="D125" s="3" t="s">
        <v>21</v>
      </c>
      <c r="E125" s="7">
        <v>718.04</v>
      </c>
      <c r="F125" s="3">
        <v>14</v>
      </c>
      <c r="G125" s="3">
        <v>0</v>
      </c>
      <c r="H125" s="4">
        <v>45613</v>
      </c>
      <c r="I125" s="3">
        <f t="shared" si="2"/>
        <v>11</v>
      </c>
      <c r="J125" s="7">
        <v>179.51</v>
      </c>
      <c r="L125" s="28">
        <f t="shared" ca="1" si="3"/>
        <v>46276.97319409722</v>
      </c>
    </row>
    <row r="126" spans="1:12" ht="15.75" x14ac:dyDescent="0.25">
      <c r="A126" s="3" t="s">
        <v>72</v>
      </c>
      <c r="B126" s="3" t="s">
        <v>17</v>
      </c>
      <c r="C126" s="3" t="s">
        <v>34</v>
      </c>
      <c r="D126" s="3" t="s">
        <v>15</v>
      </c>
      <c r="E126" s="7">
        <v>1277.8499999999999</v>
      </c>
      <c r="F126" s="3">
        <v>18</v>
      </c>
      <c r="G126" s="3">
        <v>0.2</v>
      </c>
      <c r="H126" s="4">
        <v>45613</v>
      </c>
      <c r="I126" s="3">
        <f t="shared" si="2"/>
        <v>11</v>
      </c>
      <c r="J126" s="7">
        <v>511.14</v>
      </c>
      <c r="L126" s="28">
        <f t="shared" ca="1" si="3"/>
        <v>46276.97319409722</v>
      </c>
    </row>
    <row r="127" spans="1:12" ht="15.75" x14ac:dyDescent="0.25">
      <c r="A127" s="3" t="s">
        <v>70</v>
      </c>
      <c r="B127" s="3" t="s">
        <v>23</v>
      </c>
      <c r="C127" s="3" t="s">
        <v>24</v>
      </c>
      <c r="D127" s="3" t="s">
        <v>21</v>
      </c>
      <c r="E127" s="7">
        <v>706.73</v>
      </c>
      <c r="F127" s="3">
        <v>1</v>
      </c>
      <c r="G127" s="3">
        <v>0.15</v>
      </c>
      <c r="H127" s="4">
        <v>45613</v>
      </c>
      <c r="I127" s="3">
        <f t="shared" si="2"/>
        <v>11</v>
      </c>
      <c r="J127" s="7">
        <v>150.18</v>
      </c>
      <c r="L127" s="28">
        <f t="shared" ca="1" si="3"/>
        <v>46276.97319409722</v>
      </c>
    </row>
    <row r="128" spans="1:12" ht="15.75" x14ac:dyDescent="0.25">
      <c r="A128" s="3" t="s">
        <v>65</v>
      </c>
      <c r="B128" s="3" t="s">
        <v>50</v>
      </c>
      <c r="C128" s="3" t="s">
        <v>18</v>
      </c>
      <c r="D128" s="3" t="s">
        <v>21</v>
      </c>
      <c r="E128" s="7">
        <v>1410.59</v>
      </c>
      <c r="F128" s="3">
        <v>15</v>
      </c>
      <c r="G128" s="3">
        <v>0</v>
      </c>
      <c r="H128" s="4">
        <v>45615</v>
      </c>
      <c r="I128" s="3">
        <f t="shared" si="2"/>
        <v>11</v>
      </c>
      <c r="J128" s="7">
        <v>352.65</v>
      </c>
      <c r="L128" s="28">
        <f t="shared" ca="1" si="3"/>
        <v>46276.97319409722</v>
      </c>
    </row>
    <row r="129" spans="1:12" ht="15.75" x14ac:dyDescent="0.25">
      <c r="A129" s="3" t="s">
        <v>32</v>
      </c>
      <c r="B129" s="3" t="s">
        <v>61</v>
      </c>
      <c r="C129" s="3" t="s">
        <v>20</v>
      </c>
      <c r="D129" s="3" t="s">
        <v>27</v>
      </c>
      <c r="E129" s="7">
        <v>1350.33</v>
      </c>
      <c r="F129" s="3">
        <v>10</v>
      </c>
      <c r="G129" s="3">
        <v>0</v>
      </c>
      <c r="H129" s="4">
        <v>45615</v>
      </c>
      <c r="I129" s="3">
        <f t="shared" si="2"/>
        <v>11</v>
      </c>
      <c r="J129" s="7">
        <v>472.62</v>
      </c>
      <c r="L129" s="28">
        <f t="shared" ca="1" si="3"/>
        <v>46276.97319409722</v>
      </c>
    </row>
    <row r="130" spans="1:12" ht="15.75" x14ac:dyDescent="0.25">
      <c r="A130" s="3" t="s">
        <v>41</v>
      </c>
      <c r="B130" s="3" t="s">
        <v>45</v>
      </c>
      <c r="C130" s="3" t="s">
        <v>18</v>
      </c>
      <c r="D130" s="3" t="s">
        <v>21</v>
      </c>
      <c r="E130" s="7">
        <v>919.18</v>
      </c>
      <c r="F130" s="3">
        <v>4</v>
      </c>
      <c r="G130" s="3">
        <v>0.15</v>
      </c>
      <c r="H130" s="4">
        <v>45615</v>
      </c>
      <c r="I130" s="3">
        <f t="shared" si="2"/>
        <v>11</v>
      </c>
      <c r="J130" s="7">
        <v>195.33</v>
      </c>
      <c r="L130" s="28">
        <f t="shared" ca="1" si="3"/>
        <v>46276.97319409722</v>
      </c>
    </row>
    <row r="131" spans="1:12" ht="15.75" x14ac:dyDescent="0.25">
      <c r="A131" s="3" t="s">
        <v>74</v>
      </c>
      <c r="B131" s="3" t="s">
        <v>23</v>
      </c>
      <c r="C131" s="3" t="s">
        <v>11</v>
      </c>
      <c r="D131" s="3" t="s">
        <v>21</v>
      </c>
      <c r="E131" s="7">
        <v>258.51</v>
      </c>
      <c r="F131" s="3">
        <v>19</v>
      </c>
      <c r="G131" s="3">
        <v>0</v>
      </c>
      <c r="H131" s="4">
        <v>45616</v>
      </c>
      <c r="I131" s="3">
        <f t="shared" ref="I131:I194" si="4">MONTH(H131)</f>
        <v>11</v>
      </c>
      <c r="J131" s="7">
        <v>64.63</v>
      </c>
      <c r="L131" s="28">
        <f t="shared" ref="L131:L194" ca="1" si="5">NOW()</f>
        <v>46276.97319409722</v>
      </c>
    </row>
    <row r="132" spans="1:12" ht="15.75" x14ac:dyDescent="0.25">
      <c r="A132" s="3" t="s">
        <v>63</v>
      </c>
      <c r="B132" s="3" t="s">
        <v>61</v>
      </c>
      <c r="C132" s="3" t="s">
        <v>18</v>
      </c>
      <c r="D132" s="3" t="s">
        <v>12</v>
      </c>
      <c r="E132" s="7">
        <v>1213.48</v>
      </c>
      <c r="F132" s="3">
        <v>5</v>
      </c>
      <c r="G132" s="3">
        <v>0.05</v>
      </c>
      <c r="H132" s="4">
        <v>45616</v>
      </c>
      <c r="I132" s="3">
        <f t="shared" si="4"/>
        <v>11</v>
      </c>
      <c r="J132" s="7">
        <v>461.12</v>
      </c>
      <c r="L132" s="28">
        <f t="shared" ca="1" si="5"/>
        <v>46276.97319409722</v>
      </c>
    </row>
    <row r="133" spans="1:12" ht="15.75" x14ac:dyDescent="0.25">
      <c r="A133" s="3" t="s">
        <v>57</v>
      </c>
      <c r="B133" s="3" t="s">
        <v>38</v>
      </c>
      <c r="C133" s="3" t="s">
        <v>34</v>
      </c>
      <c r="D133" s="3" t="s">
        <v>12</v>
      </c>
      <c r="E133" s="7">
        <v>1150.28</v>
      </c>
      <c r="F133" s="3">
        <v>8</v>
      </c>
      <c r="G133" s="3">
        <v>0.05</v>
      </c>
      <c r="H133" s="4">
        <v>45622</v>
      </c>
      <c r="I133" s="3">
        <f t="shared" si="4"/>
        <v>11</v>
      </c>
      <c r="J133" s="7">
        <v>437.11</v>
      </c>
      <c r="L133" s="28">
        <f t="shared" ca="1" si="5"/>
        <v>46276.97319409722</v>
      </c>
    </row>
    <row r="134" spans="1:12" ht="15.75" x14ac:dyDescent="0.25">
      <c r="A134" s="3" t="s">
        <v>37</v>
      </c>
      <c r="B134" s="3" t="s">
        <v>71</v>
      </c>
      <c r="C134" s="3" t="s">
        <v>20</v>
      </c>
      <c r="D134" s="3" t="s">
        <v>27</v>
      </c>
      <c r="E134" s="7">
        <v>853.86</v>
      </c>
      <c r="F134" s="3">
        <v>8</v>
      </c>
      <c r="G134" s="3">
        <v>0.1</v>
      </c>
      <c r="H134" s="4">
        <v>45622</v>
      </c>
      <c r="I134" s="3">
        <f t="shared" si="4"/>
        <v>11</v>
      </c>
      <c r="J134" s="7">
        <v>268.97000000000003</v>
      </c>
      <c r="L134" s="28">
        <f t="shared" ca="1" si="5"/>
        <v>46276.97319409722</v>
      </c>
    </row>
    <row r="135" spans="1:12" ht="15.75" x14ac:dyDescent="0.25">
      <c r="A135" s="3" t="s">
        <v>75</v>
      </c>
      <c r="B135" s="3" t="s">
        <v>45</v>
      </c>
      <c r="C135" s="3" t="s">
        <v>20</v>
      </c>
      <c r="D135" s="3" t="s">
        <v>21</v>
      </c>
      <c r="E135" s="7">
        <v>1061.04</v>
      </c>
      <c r="F135" s="3">
        <v>1</v>
      </c>
      <c r="G135" s="3">
        <v>0</v>
      </c>
      <c r="H135" s="4">
        <v>45624</v>
      </c>
      <c r="I135" s="3">
        <f t="shared" si="4"/>
        <v>11</v>
      </c>
      <c r="J135" s="7">
        <v>265.26</v>
      </c>
      <c r="L135" s="28">
        <f t="shared" ca="1" si="5"/>
        <v>46276.97319409722</v>
      </c>
    </row>
    <row r="136" spans="1:12" ht="15.75" x14ac:dyDescent="0.25">
      <c r="A136" s="3" t="s">
        <v>28</v>
      </c>
      <c r="B136" s="3" t="s">
        <v>43</v>
      </c>
      <c r="C136" s="3" t="s">
        <v>11</v>
      </c>
      <c r="D136" s="3" t="s">
        <v>21</v>
      </c>
      <c r="E136" s="7">
        <v>894.55</v>
      </c>
      <c r="F136" s="3">
        <v>19</v>
      </c>
      <c r="G136" s="3">
        <v>0.2</v>
      </c>
      <c r="H136" s="4">
        <v>45625</v>
      </c>
      <c r="I136" s="3">
        <f t="shared" si="4"/>
        <v>11</v>
      </c>
      <c r="J136" s="7">
        <v>178.91</v>
      </c>
      <c r="L136" s="28">
        <f t="shared" ca="1" si="5"/>
        <v>46276.97319409722</v>
      </c>
    </row>
    <row r="137" spans="1:12" ht="15.75" x14ac:dyDescent="0.25">
      <c r="A137" s="3" t="s">
        <v>25</v>
      </c>
      <c r="B137" s="3" t="s">
        <v>38</v>
      </c>
      <c r="C137" s="3" t="s">
        <v>24</v>
      </c>
      <c r="D137" s="3" t="s">
        <v>39</v>
      </c>
      <c r="E137" s="7">
        <v>833.91</v>
      </c>
      <c r="F137" s="3">
        <v>3</v>
      </c>
      <c r="G137" s="3">
        <v>0.05</v>
      </c>
      <c r="H137" s="4">
        <v>45626</v>
      </c>
      <c r="I137" s="3">
        <f t="shared" si="4"/>
        <v>11</v>
      </c>
      <c r="J137" s="7">
        <v>356.5</v>
      </c>
      <c r="L137" s="28">
        <f t="shared" ca="1" si="5"/>
        <v>46276.97319409722</v>
      </c>
    </row>
    <row r="138" spans="1:12" ht="15.75" x14ac:dyDescent="0.25">
      <c r="A138" s="3" t="s">
        <v>58</v>
      </c>
      <c r="B138" s="3" t="s">
        <v>71</v>
      </c>
      <c r="C138" s="3" t="s">
        <v>11</v>
      </c>
      <c r="D138" s="3" t="s">
        <v>27</v>
      </c>
      <c r="E138" s="7">
        <v>820.19</v>
      </c>
      <c r="F138" s="3">
        <v>4</v>
      </c>
      <c r="G138" s="3">
        <v>0.2</v>
      </c>
      <c r="H138" s="4">
        <v>45630</v>
      </c>
      <c r="I138" s="3">
        <f t="shared" si="4"/>
        <v>12</v>
      </c>
      <c r="J138" s="7">
        <v>229.65</v>
      </c>
      <c r="L138" s="28">
        <f t="shared" ca="1" si="5"/>
        <v>46276.97319409722</v>
      </c>
    </row>
    <row r="139" spans="1:12" ht="15.75" x14ac:dyDescent="0.25">
      <c r="A139" s="3" t="s">
        <v>58</v>
      </c>
      <c r="B139" s="3" t="s">
        <v>38</v>
      </c>
      <c r="C139" s="3" t="s">
        <v>34</v>
      </c>
      <c r="D139" s="3" t="s">
        <v>21</v>
      </c>
      <c r="E139" s="7">
        <v>511.74</v>
      </c>
      <c r="F139" s="3">
        <v>8</v>
      </c>
      <c r="G139" s="3">
        <v>0.05</v>
      </c>
      <c r="H139" s="4">
        <v>45631</v>
      </c>
      <c r="I139" s="3">
        <f t="shared" si="4"/>
        <v>12</v>
      </c>
      <c r="J139" s="7">
        <v>121.54</v>
      </c>
      <c r="L139" s="28">
        <f t="shared" ca="1" si="5"/>
        <v>46276.97319409722</v>
      </c>
    </row>
    <row r="140" spans="1:12" ht="15.75" x14ac:dyDescent="0.25">
      <c r="A140" s="3" t="s">
        <v>65</v>
      </c>
      <c r="B140" s="3" t="s">
        <v>61</v>
      </c>
      <c r="C140" s="3" t="s">
        <v>20</v>
      </c>
      <c r="D140" s="3" t="s">
        <v>27</v>
      </c>
      <c r="E140" s="7">
        <v>806.03</v>
      </c>
      <c r="F140" s="3">
        <v>19</v>
      </c>
      <c r="G140" s="3">
        <v>0.05</v>
      </c>
      <c r="H140" s="4">
        <v>45638</v>
      </c>
      <c r="I140" s="3">
        <f t="shared" si="4"/>
        <v>12</v>
      </c>
      <c r="J140" s="7">
        <v>268</v>
      </c>
      <c r="L140" s="28">
        <f t="shared" ca="1" si="5"/>
        <v>46276.97319409722</v>
      </c>
    </row>
    <row r="141" spans="1:12" ht="15.75" x14ac:dyDescent="0.25">
      <c r="A141" s="3" t="s">
        <v>28</v>
      </c>
      <c r="B141" s="3" t="s">
        <v>26</v>
      </c>
      <c r="C141" s="3" t="s">
        <v>34</v>
      </c>
      <c r="D141" s="3" t="s">
        <v>27</v>
      </c>
      <c r="E141" s="7">
        <v>1432.47</v>
      </c>
      <c r="F141" s="3">
        <v>16</v>
      </c>
      <c r="G141" s="3">
        <v>0.15</v>
      </c>
      <c r="H141" s="4">
        <v>45640</v>
      </c>
      <c r="I141" s="3">
        <f t="shared" si="4"/>
        <v>12</v>
      </c>
      <c r="J141" s="7">
        <v>426.16</v>
      </c>
      <c r="L141" s="28">
        <f t="shared" ca="1" si="5"/>
        <v>46276.97319409722</v>
      </c>
    </row>
    <row r="142" spans="1:12" ht="15.75" x14ac:dyDescent="0.25">
      <c r="A142" s="3" t="s">
        <v>74</v>
      </c>
      <c r="B142" s="3" t="s">
        <v>29</v>
      </c>
      <c r="C142" s="3" t="s">
        <v>34</v>
      </c>
      <c r="D142" s="3" t="s">
        <v>21</v>
      </c>
      <c r="E142" s="7">
        <v>1488.58</v>
      </c>
      <c r="F142" s="3">
        <v>10</v>
      </c>
      <c r="G142" s="3">
        <v>0.15</v>
      </c>
      <c r="H142" s="4">
        <v>45640</v>
      </c>
      <c r="I142" s="3">
        <f t="shared" si="4"/>
        <v>12</v>
      </c>
      <c r="J142" s="7">
        <v>316.32</v>
      </c>
      <c r="L142" s="28">
        <f t="shared" ca="1" si="5"/>
        <v>46276.97319409722</v>
      </c>
    </row>
    <row r="143" spans="1:12" ht="15.75" x14ac:dyDescent="0.25">
      <c r="A143" s="3" t="s">
        <v>30</v>
      </c>
      <c r="B143" s="3" t="s">
        <v>66</v>
      </c>
      <c r="C143" s="3" t="s">
        <v>18</v>
      </c>
      <c r="D143" s="3" t="s">
        <v>12</v>
      </c>
      <c r="E143" s="7">
        <v>1231.26</v>
      </c>
      <c r="F143" s="3">
        <v>9</v>
      </c>
      <c r="G143" s="3">
        <v>0</v>
      </c>
      <c r="H143" s="4">
        <v>45646</v>
      </c>
      <c r="I143" s="3">
        <f t="shared" si="4"/>
        <v>12</v>
      </c>
      <c r="J143" s="7">
        <v>492.5</v>
      </c>
      <c r="L143" s="28">
        <f t="shared" ca="1" si="5"/>
        <v>46276.97319409722</v>
      </c>
    </row>
    <row r="144" spans="1:12" ht="15.75" x14ac:dyDescent="0.25">
      <c r="A144" s="3" t="s">
        <v>30</v>
      </c>
      <c r="B144" s="3" t="s">
        <v>43</v>
      </c>
      <c r="C144" s="3" t="s">
        <v>11</v>
      </c>
      <c r="D144" s="3" t="s">
        <v>21</v>
      </c>
      <c r="E144" s="7">
        <v>1161.67</v>
      </c>
      <c r="F144" s="3">
        <v>19</v>
      </c>
      <c r="G144" s="3">
        <v>0.2</v>
      </c>
      <c r="H144" s="4">
        <v>45647</v>
      </c>
      <c r="I144" s="3">
        <f t="shared" si="4"/>
        <v>12</v>
      </c>
      <c r="J144" s="7">
        <v>232.33</v>
      </c>
      <c r="L144" s="28">
        <f t="shared" ca="1" si="5"/>
        <v>46276.97319409722</v>
      </c>
    </row>
    <row r="145" spans="1:12" ht="15.75" x14ac:dyDescent="0.25">
      <c r="A145" s="3" t="s">
        <v>49</v>
      </c>
      <c r="B145" s="3" t="s">
        <v>45</v>
      </c>
      <c r="C145" s="3" t="s">
        <v>34</v>
      </c>
      <c r="D145" s="3" t="s">
        <v>39</v>
      </c>
      <c r="E145" s="7">
        <v>388.23</v>
      </c>
      <c r="F145" s="3">
        <v>16</v>
      </c>
      <c r="G145" s="3">
        <v>0.05</v>
      </c>
      <c r="H145" s="4">
        <v>45650</v>
      </c>
      <c r="I145" s="3">
        <f t="shared" si="4"/>
        <v>12</v>
      </c>
      <c r="J145" s="7">
        <v>165.97</v>
      </c>
      <c r="L145" s="28">
        <f t="shared" ca="1" si="5"/>
        <v>46276.97319409722</v>
      </c>
    </row>
    <row r="146" spans="1:12" ht="15.75" x14ac:dyDescent="0.25">
      <c r="A146" s="3" t="s">
        <v>72</v>
      </c>
      <c r="B146" s="3" t="s">
        <v>31</v>
      </c>
      <c r="C146" s="3" t="s">
        <v>24</v>
      </c>
      <c r="D146" s="3" t="s">
        <v>15</v>
      </c>
      <c r="E146" s="7">
        <v>1589.42</v>
      </c>
      <c r="F146" s="3">
        <v>6</v>
      </c>
      <c r="G146" s="3">
        <v>0.15</v>
      </c>
      <c r="H146" s="4">
        <v>45651</v>
      </c>
      <c r="I146" s="3">
        <f t="shared" si="4"/>
        <v>12</v>
      </c>
      <c r="J146" s="7">
        <v>675.5</v>
      </c>
      <c r="L146" s="28">
        <f t="shared" ca="1" si="5"/>
        <v>46276.97319409722</v>
      </c>
    </row>
    <row r="147" spans="1:12" ht="15.75" x14ac:dyDescent="0.25">
      <c r="A147" s="3" t="s">
        <v>28</v>
      </c>
      <c r="B147" s="3" t="s">
        <v>71</v>
      </c>
      <c r="C147" s="3" t="s">
        <v>24</v>
      </c>
      <c r="D147" s="3" t="s">
        <v>15</v>
      </c>
      <c r="E147" s="7">
        <v>336.66</v>
      </c>
      <c r="F147" s="3">
        <v>13</v>
      </c>
      <c r="G147" s="3">
        <v>0.2</v>
      </c>
      <c r="H147" s="4">
        <v>45651</v>
      </c>
      <c r="I147" s="3">
        <f t="shared" si="4"/>
        <v>12</v>
      </c>
      <c r="J147" s="7">
        <v>134.66</v>
      </c>
      <c r="L147" s="28">
        <f t="shared" ca="1" si="5"/>
        <v>46276.97319409722</v>
      </c>
    </row>
    <row r="148" spans="1:12" ht="15.75" x14ac:dyDescent="0.25">
      <c r="A148" s="3" t="s">
        <v>49</v>
      </c>
      <c r="B148" s="3" t="s">
        <v>23</v>
      </c>
      <c r="C148" s="3" t="s">
        <v>11</v>
      </c>
      <c r="D148" s="3" t="s">
        <v>12</v>
      </c>
      <c r="E148" s="7">
        <v>1353.79</v>
      </c>
      <c r="F148" s="3">
        <v>14</v>
      </c>
      <c r="G148" s="3">
        <v>0.1</v>
      </c>
      <c r="H148" s="4">
        <v>45656</v>
      </c>
      <c r="I148" s="3">
        <f t="shared" si="4"/>
        <v>12</v>
      </c>
      <c r="J148" s="7">
        <v>487.36</v>
      </c>
      <c r="L148" s="28">
        <f t="shared" ca="1" si="5"/>
        <v>46276.97319409722</v>
      </c>
    </row>
    <row r="149" spans="1:12" ht="15.75" x14ac:dyDescent="0.25">
      <c r="A149" s="3" t="s">
        <v>63</v>
      </c>
      <c r="B149" s="3" t="s">
        <v>69</v>
      </c>
      <c r="C149" s="3" t="s">
        <v>34</v>
      </c>
      <c r="D149" s="3" t="s">
        <v>15</v>
      </c>
      <c r="E149" s="7">
        <v>662.61</v>
      </c>
      <c r="F149" s="3">
        <v>11</v>
      </c>
      <c r="G149" s="3">
        <v>0.05</v>
      </c>
      <c r="H149" s="4">
        <v>45658</v>
      </c>
      <c r="I149" s="3">
        <f t="shared" si="4"/>
        <v>1</v>
      </c>
      <c r="J149" s="7">
        <v>314.74</v>
      </c>
      <c r="L149" s="28">
        <f t="shared" ca="1" si="5"/>
        <v>46276.97319409722</v>
      </c>
    </row>
    <row r="150" spans="1:12" ht="15.75" x14ac:dyDescent="0.25">
      <c r="A150" s="3" t="s">
        <v>52</v>
      </c>
      <c r="B150" s="3" t="s">
        <v>48</v>
      </c>
      <c r="C150" s="3" t="s">
        <v>24</v>
      </c>
      <c r="D150" s="3" t="s">
        <v>39</v>
      </c>
      <c r="E150" s="7">
        <v>309.42</v>
      </c>
      <c r="F150" s="3">
        <v>1</v>
      </c>
      <c r="G150" s="3">
        <v>0.2</v>
      </c>
      <c r="H150" s="4">
        <v>45658</v>
      </c>
      <c r="I150" s="3">
        <f t="shared" si="4"/>
        <v>1</v>
      </c>
      <c r="J150" s="7">
        <v>111.39</v>
      </c>
      <c r="L150" s="28">
        <f t="shared" ca="1" si="5"/>
        <v>46276.97319409722</v>
      </c>
    </row>
    <row r="151" spans="1:12" ht="15.75" x14ac:dyDescent="0.25">
      <c r="A151" s="3" t="s">
        <v>63</v>
      </c>
      <c r="B151" s="3" t="s">
        <v>29</v>
      </c>
      <c r="C151" s="3" t="s">
        <v>24</v>
      </c>
      <c r="D151" s="3" t="s">
        <v>12</v>
      </c>
      <c r="E151" s="7">
        <v>884.63</v>
      </c>
      <c r="F151" s="3">
        <v>18</v>
      </c>
      <c r="G151" s="3">
        <v>0.1</v>
      </c>
      <c r="H151" s="4">
        <v>45659</v>
      </c>
      <c r="I151" s="3">
        <f t="shared" si="4"/>
        <v>1</v>
      </c>
      <c r="J151" s="7">
        <v>318.47000000000003</v>
      </c>
      <c r="L151" s="28">
        <f t="shared" ca="1" si="5"/>
        <v>46276.97319409722</v>
      </c>
    </row>
    <row r="152" spans="1:12" ht="15.75" x14ac:dyDescent="0.25">
      <c r="A152" s="3" t="s">
        <v>52</v>
      </c>
      <c r="B152" s="3" t="s">
        <v>23</v>
      </c>
      <c r="C152" s="3" t="s">
        <v>34</v>
      </c>
      <c r="D152" s="3" t="s">
        <v>39</v>
      </c>
      <c r="E152" s="7">
        <v>745.05</v>
      </c>
      <c r="F152" s="3">
        <v>10</v>
      </c>
      <c r="G152" s="3">
        <v>0.1</v>
      </c>
      <c r="H152" s="4">
        <v>45660</v>
      </c>
      <c r="I152" s="3">
        <f t="shared" si="4"/>
        <v>1</v>
      </c>
      <c r="J152" s="7">
        <v>301.75</v>
      </c>
      <c r="L152" s="28">
        <f t="shared" ca="1" si="5"/>
        <v>46276.97319409722</v>
      </c>
    </row>
    <row r="153" spans="1:12" ht="15.75" x14ac:dyDescent="0.25">
      <c r="A153" s="3" t="s">
        <v>60</v>
      </c>
      <c r="B153" s="3" t="s">
        <v>17</v>
      </c>
      <c r="C153" s="3" t="s">
        <v>20</v>
      </c>
      <c r="D153" s="3" t="s">
        <v>15</v>
      </c>
      <c r="E153" s="7">
        <v>870.23</v>
      </c>
      <c r="F153" s="3">
        <v>5</v>
      </c>
      <c r="G153" s="3">
        <v>0.05</v>
      </c>
      <c r="H153" s="4">
        <v>45660</v>
      </c>
      <c r="I153" s="3">
        <f t="shared" si="4"/>
        <v>1</v>
      </c>
      <c r="J153" s="7">
        <v>413.36</v>
      </c>
      <c r="L153" s="28">
        <f t="shared" ca="1" si="5"/>
        <v>46276.97319409722</v>
      </c>
    </row>
    <row r="154" spans="1:12" ht="15.75" x14ac:dyDescent="0.25">
      <c r="A154" s="3" t="s">
        <v>35</v>
      </c>
      <c r="B154" s="3" t="s">
        <v>29</v>
      </c>
      <c r="C154" s="3" t="s">
        <v>11</v>
      </c>
      <c r="D154" s="3" t="s">
        <v>27</v>
      </c>
      <c r="E154" s="7">
        <v>862.19</v>
      </c>
      <c r="F154" s="3">
        <v>18</v>
      </c>
      <c r="G154" s="3">
        <v>0.05</v>
      </c>
      <c r="H154" s="4">
        <v>45663</v>
      </c>
      <c r="I154" s="3">
        <f t="shared" si="4"/>
        <v>1</v>
      </c>
      <c r="J154" s="7">
        <v>286.68</v>
      </c>
      <c r="L154" s="28">
        <f t="shared" ca="1" si="5"/>
        <v>46276.97319409722</v>
      </c>
    </row>
    <row r="155" spans="1:12" ht="15.75" x14ac:dyDescent="0.25">
      <c r="A155" s="3" t="s">
        <v>73</v>
      </c>
      <c r="B155" s="3" t="s">
        <v>59</v>
      </c>
      <c r="C155" s="3" t="s">
        <v>24</v>
      </c>
      <c r="D155" s="3" t="s">
        <v>15</v>
      </c>
      <c r="E155" s="7">
        <v>1171.18</v>
      </c>
      <c r="F155" s="3">
        <v>19</v>
      </c>
      <c r="G155" s="3">
        <v>0.05</v>
      </c>
      <c r="H155" s="4">
        <v>45667</v>
      </c>
      <c r="I155" s="3">
        <f t="shared" si="4"/>
        <v>1</v>
      </c>
      <c r="J155" s="7">
        <v>556.30999999999995</v>
      </c>
      <c r="L155" s="28">
        <f t="shared" ca="1" si="5"/>
        <v>46276.97319409722</v>
      </c>
    </row>
    <row r="156" spans="1:12" ht="15.75" x14ac:dyDescent="0.25">
      <c r="A156" s="3" t="s">
        <v>58</v>
      </c>
      <c r="B156" s="3" t="s">
        <v>14</v>
      </c>
      <c r="C156" s="3" t="s">
        <v>20</v>
      </c>
      <c r="D156" s="3" t="s">
        <v>27</v>
      </c>
      <c r="E156" s="7">
        <v>1054.56</v>
      </c>
      <c r="F156" s="3">
        <v>11</v>
      </c>
      <c r="G156" s="3">
        <v>0.1</v>
      </c>
      <c r="H156" s="4">
        <v>45669</v>
      </c>
      <c r="I156" s="3">
        <f t="shared" si="4"/>
        <v>1</v>
      </c>
      <c r="J156" s="7">
        <v>332.19</v>
      </c>
      <c r="L156" s="28">
        <f t="shared" ca="1" si="5"/>
        <v>46276.97319409722</v>
      </c>
    </row>
    <row r="157" spans="1:12" ht="15.75" x14ac:dyDescent="0.25">
      <c r="A157" s="3" t="s">
        <v>58</v>
      </c>
      <c r="B157" s="3" t="s">
        <v>23</v>
      </c>
      <c r="C157" s="3" t="s">
        <v>24</v>
      </c>
      <c r="D157" s="3" t="s">
        <v>21</v>
      </c>
      <c r="E157" s="7">
        <v>1681.21</v>
      </c>
      <c r="F157" s="3">
        <v>5</v>
      </c>
      <c r="G157" s="3">
        <v>0.2</v>
      </c>
      <c r="H157" s="4">
        <v>45670</v>
      </c>
      <c r="I157" s="3">
        <f t="shared" si="4"/>
        <v>1</v>
      </c>
      <c r="J157" s="7">
        <v>336.24</v>
      </c>
      <c r="L157" s="28">
        <f t="shared" ca="1" si="5"/>
        <v>46276.97319409722</v>
      </c>
    </row>
    <row r="158" spans="1:12" ht="15.75" x14ac:dyDescent="0.25">
      <c r="A158" s="3" t="s">
        <v>58</v>
      </c>
      <c r="B158" s="3" t="s">
        <v>36</v>
      </c>
      <c r="C158" s="3" t="s">
        <v>11</v>
      </c>
      <c r="D158" s="3" t="s">
        <v>15</v>
      </c>
      <c r="E158" s="7">
        <v>379.77</v>
      </c>
      <c r="F158" s="3">
        <v>9</v>
      </c>
      <c r="G158" s="3">
        <v>0.05</v>
      </c>
      <c r="H158" s="4">
        <v>45673</v>
      </c>
      <c r="I158" s="3">
        <f t="shared" si="4"/>
        <v>1</v>
      </c>
      <c r="J158" s="7">
        <v>180.39</v>
      </c>
      <c r="L158" s="28">
        <f t="shared" ca="1" si="5"/>
        <v>46276.97319409722</v>
      </c>
    </row>
    <row r="159" spans="1:12" ht="15.75" x14ac:dyDescent="0.25">
      <c r="A159" s="3" t="s">
        <v>44</v>
      </c>
      <c r="B159" s="3" t="s">
        <v>45</v>
      </c>
      <c r="C159" s="3" t="s">
        <v>34</v>
      </c>
      <c r="D159" s="3" t="s">
        <v>15</v>
      </c>
      <c r="E159" s="7">
        <v>1076.33</v>
      </c>
      <c r="F159" s="3">
        <v>2</v>
      </c>
      <c r="G159" s="3">
        <v>0.1</v>
      </c>
      <c r="H159" s="4">
        <v>45674</v>
      </c>
      <c r="I159" s="3">
        <f t="shared" si="4"/>
        <v>1</v>
      </c>
      <c r="J159" s="7">
        <v>484.35</v>
      </c>
      <c r="L159" s="28">
        <f t="shared" ca="1" si="5"/>
        <v>46276.97319409722</v>
      </c>
    </row>
    <row r="160" spans="1:12" ht="15.75" x14ac:dyDescent="0.25">
      <c r="A160" s="3" t="s">
        <v>44</v>
      </c>
      <c r="B160" s="3" t="s">
        <v>31</v>
      </c>
      <c r="C160" s="3" t="s">
        <v>34</v>
      </c>
      <c r="D160" s="3" t="s">
        <v>39</v>
      </c>
      <c r="E160" s="7">
        <v>1250.71</v>
      </c>
      <c r="F160" s="3">
        <v>7</v>
      </c>
      <c r="G160" s="3">
        <v>0</v>
      </c>
      <c r="H160" s="4">
        <v>45674</v>
      </c>
      <c r="I160" s="3">
        <f t="shared" si="4"/>
        <v>1</v>
      </c>
      <c r="J160" s="7">
        <v>562.82000000000005</v>
      </c>
      <c r="L160" s="28">
        <f t="shared" ca="1" si="5"/>
        <v>46276.97319409722</v>
      </c>
    </row>
    <row r="161" spans="1:12" ht="15.75" x14ac:dyDescent="0.25">
      <c r="A161" s="3" t="s">
        <v>40</v>
      </c>
      <c r="B161" s="3" t="s">
        <v>17</v>
      </c>
      <c r="C161" s="3" t="s">
        <v>20</v>
      </c>
      <c r="D161" s="3" t="s">
        <v>15</v>
      </c>
      <c r="E161" s="7">
        <v>1118.3399999999999</v>
      </c>
      <c r="F161" s="3">
        <v>6</v>
      </c>
      <c r="G161" s="3">
        <v>0.2</v>
      </c>
      <c r="H161" s="4">
        <v>45674</v>
      </c>
      <c r="I161" s="3">
        <f t="shared" si="4"/>
        <v>1</v>
      </c>
      <c r="J161" s="7">
        <v>447.34</v>
      </c>
      <c r="L161" s="28">
        <f t="shared" ca="1" si="5"/>
        <v>46276.97319409722</v>
      </c>
    </row>
    <row r="162" spans="1:12" ht="15.75" x14ac:dyDescent="0.25">
      <c r="A162" s="3" t="s">
        <v>70</v>
      </c>
      <c r="B162" s="3" t="s">
        <v>53</v>
      </c>
      <c r="C162" s="3" t="s">
        <v>24</v>
      </c>
      <c r="D162" s="3" t="s">
        <v>15</v>
      </c>
      <c r="E162" s="7">
        <v>1622.62</v>
      </c>
      <c r="F162" s="3">
        <v>12</v>
      </c>
      <c r="G162" s="3">
        <v>0.2</v>
      </c>
      <c r="H162" s="4">
        <v>45677</v>
      </c>
      <c r="I162" s="3">
        <f t="shared" si="4"/>
        <v>1</v>
      </c>
      <c r="J162" s="7">
        <v>649.04999999999995</v>
      </c>
      <c r="L162" s="28">
        <f t="shared" ca="1" si="5"/>
        <v>46276.97319409722</v>
      </c>
    </row>
    <row r="163" spans="1:12" ht="15.75" x14ac:dyDescent="0.25">
      <c r="A163" s="3" t="s">
        <v>75</v>
      </c>
      <c r="B163" s="3" t="s">
        <v>48</v>
      </c>
      <c r="C163" s="3" t="s">
        <v>24</v>
      </c>
      <c r="D163" s="3" t="s">
        <v>12</v>
      </c>
      <c r="E163" s="7">
        <v>640.64</v>
      </c>
      <c r="F163" s="3">
        <v>11</v>
      </c>
      <c r="G163" s="3">
        <v>0.2</v>
      </c>
      <c r="H163" s="4">
        <v>45678</v>
      </c>
      <c r="I163" s="3">
        <f t="shared" si="4"/>
        <v>1</v>
      </c>
      <c r="J163" s="7">
        <v>205</v>
      </c>
      <c r="L163" s="28">
        <f t="shared" ca="1" si="5"/>
        <v>46276.97319409722</v>
      </c>
    </row>
    <row r="164" spans="1:12" ht="15.75" x14ac:dyDescent="0.25">
      <c r="A164" s="3" t="s">
        <v>22</v>
      </c>
      <c r="B164" s="3" t="s">
        <v>43</v>
      </c>
      <c r="C164" s="3" t="s">
        <v>11</v>
      </c>
      <c r="D164" s="3" t="s">
        <v>15</v>
      </c>
      <c r="E164" s="7">
        <v>585.16</v>
      </c>
      <c r="F164" s="3">
        <v>17</v>
      </c>
      <c r="G164" s="3">
        <v>0.1</v>
      </c>
      <c r="H164" s="4">
        <v>45684</v>
      </c>
      <c r="I164" s="3">
        <f t="shared" si="4"/>
        <v>1</v>
      </c>
      <c r="J164" s="7">
        <v>263.32</v>
      </c>
      <c r="L164" s="28">
        <f t="shared" ca="1" si="5"/>
        <v>46276.97319409722</v>
      </c>
    </row>
    <row r="165" spans="1:12" ht="15.75" x14ac:dyDescent="0.25">
      <c r="A165" s="3" t="s">
        <v>22</v>
      </c>
      <c r="B165" s="3" t="s">
        <v>31</v>
      </c>
      <c r="C165" s="3" t="s">
        <v>18</v>
      </c>
      <c r="D165" s="3" t="s">
        <v>15</v>
      </c>
      <c r="E165" s="7">
        <v>1109.98</v>
      </c>
      <c r="F165" s="3">
        <v>5</v>
      </c>
      <c r="G165" s="3">
        <v>0.2</v>
      </c>
      <c r="H165" s="4">
        <v>45690</v>
      </c>
      <c r="I165" s="3">
        <f t="shared" si="4"/>
        <v>2</v>
      </c>
      <c r="J165" s="7">
        <v>443.99</v>
      </c>
      <c r="L165" s="28">
        <f t="shared" ca="1" si="5"/>
        <v>46276.97319409722</v>
      </c>
    </row>
    <row r="166" spans="1:12" ht="15.75" x14ac:dyDescent="0.25">
      <c r="A166" s="3" t="s">
        <v>58</v>
      </c>
      <c r="B166" s="3" t="s">
        <v>45</v>
      </c>
      <c r="C166" s="3" t="s">
        <v>18</v>
      </c>
      <c r="D166" s="3" t="s">
        <v>12</v>
      </c>
      <c r="E166" s="7">
        <v>1098.08</v>
      </c>
      <c r="F166" s="3">
        <v>9</v>
      </c>
      <c r="G166" s="3">
        <v>0.1</v>
      </c>
      <c r="H166" s="4">
        <v>45692</v>
      </c>
      <c r="I166" s="3">
        <f t="shared" si="4"/>
        <v>2</v>
      </c>
      <c r="J166" s="7">
        <v>395.31</v>
      </c>
      <c r="L166" s="28">
        <f t="shared" ca="1" si="5"/>
        <v>46276.97319409722</v>
      </c>
    </row>
    <row r="167" spans="1:12" ht="15.75" x14ac:dyDescent="0.25">
      <c r="A167" s="3" t="s">
        <v>65</v>
      </c>
      <c r="B167" s="3" t="s">
        <v>48</v>
      </c>
      <c r="C167" s="3" t="s">
        <v>11</v>
      </c>
      <c r="D167" s="3" t="s">
        <v>39</v>
      </c>
      <c r="E167" s="7">
        <v>827.25</v>
      </c>
      <c r="F167" s="3">
        <v>7</v>
      </c>
      <c r="G167" s="3">
        <v>0.1</v>
      </c>
      <c r="H167" s="4">
        <v>45693</v>
      </c>
      <c r="I167" s="3">
        <f t="shared" si="4"/>
        <v>2</v>
      </c>
      <c r="J167" s="7">
        <v>335.04</v>
      </c>
      <c r="L167" s="28">
        <f t="shared" ca="1" si="5"/>
        <v>46276.97319409722</v>
      </c>
    </row>
    <row r="168" spans="1:12" ht="15.75" x14ac:dyDescent="0.25">
      <c r="A168" s="3" t="s">
        <v>70</v>
      </c>
      <c r="B168" s="3" t="s">
        <v>29</v>
      </c>
      <c r="C168" s="3" t="s">
        <v>34</v>
      </c>
      <c r="D168" s="3" t="s">
        <v>15</v>
      </c>
      <c r="E168" s="7">
        <v>741.88</v>
      </c>
      <c r="F168" s="3">
        <v>16</v>
      </c>
      <c r="G168" s="3">
        <v>0.1</v>
      </c>
      <c r="H168" s="4">
        <v>45695</v>
      </c>
      <c r="I168" s="3">
        <f t="shared" si="4"/>
        <v>2</v>
      </c>
      <c r="J168" s="7">
        <v>333.85</v>
      </c>
      <c r="L168" s="28">
        <f t="shared" ca="1" si="5"/>
        <v>46276.97319409722</v>
      </c>
    </row>
    <row r="169" spans="1:12" ht="15.75" x14ac:dyDescent="0.25">
      <c r="A169" s="3" t="s">
        <v>72</v>
      </c>
      <c r="B169" s="3" t="s">
        <v>10</v>
      </c>
      <c r="C169" s="3" t="s">
        <v>18</v>
      </c>
      <c r="D169" s="3" t="s">
        <v>39</v>
      </c>
      <c r="E169" s="7">
        <v>1311.26</v>
      </c>
      <c r="F169" s="3">
        <v>6</v>
      </c>
      <c r="G169" s="3">
        <v>0.1</v>
      </c>
      <c r="H169" s="4">
        <v>45698</v>
      </c>
      <c r="I169" s="3">
        <f t="shared" si="4"/>
        <v>2</v>
      </c>
      <c r="J169" s="7">
        <v>531.05999999999995</v>
      </c>
      <c r="L169" s="28">
        <f t="shared" ca="1" si="5"/>
        <v>46276.97319409722</v>
      </c>
    </row>
    <row r="170" spans="1:12" ht="15.75" x14ac:dyDescent="0.25">
      <c r="A170" s="3" t="s">
        <v>72</v>
      </c>
      <c r="B170" s="3" t="s">
        <v>31</v>
      </c>
      <c r="C170" s="3" t="s">
        <v>20</v>
      </c>
      <c r="D170" s="3" t="s">
        <v>39</v>
      </c>
      <c r="E170" s="7">
        <v>573.32000000000005</v>
      </c>
      <c r="F170" s="3">
        <v>19</v>
      </c>
      <c r="G170" s="3">
        <v>0.1</v>
      </c>
      <c r="H170" s="4">
        <v>45703</v>
      </c>
      <c r="I170" s="3">
        <f t="shared" si="4"/>
        <v>2</v>
      </c>
      <c r="J170" s="7">
        <v>232.19</v>
      </c>
      <c r="L170" s="28">
        <f t="shared" ca="1" si="5"/>
        <v>46276.97319409722</v>
      </c>
    </row>
    <row r="171" spans="1:12" ht="15.75" x14ac:dyDescent="0.25">
      <c r="A171" s="3" t="s">
        <v>52</v>
      </c>
      <c r="B171" s="3" t="s">
        <v>23</v>
      </c>
      <c r="C171" s="3" t="s">
        <v>11</v>
      </c>
      <c r="D171" s="3" t="s">
        <v>21</v>
      </c>
      <c r="E171" s="7">
        <v>1115.22</v>
      </c>
      <c r="F171" s="3">
        <v>14</v>
      </c>
      <c r="G171" s="3">
        <v>0.2</v>
      </c>
      <c r="H171" s="4">
        <v>45705</v>
      </c>
      <c r="I171" s="3">
        <f t="shared" si="4"/>
        <v>2</v>
      </c>
      <c r="J171" s="7">
        <v>223.04</v>
      </c>
      <c r="L171" s="28">
        <f t="shared" ca="1" si="5"/>
        <v>46276.97319409722</v>
      </c>
    </row>
    <row r="172" spans="1:12" ht="15.75" x14ac:dyDescent="0.25">
      <c r="A172" s="3" t="s">
        <v>13</v>
      </c>
      <c r="B172" s="3" t="s">
        <v>45</v>
      </c>
      <c r="C172" s="3" t="s">
        <v>24</v>
      </c>
      <c r="D172" s="3" t="s">
        <v>15</v>
      </c>
      <c r="E172" s="7">
        <v>845.84</v>
      </c>
      <c r="F172" s="3">
        <v>4</v>
      </c>
      <c r="G172" s="3">
        <v>0</v>
      </c>
      <c r="H172" s="4">
        <v>45707</v>
      </c>
      <c r="I172" s="3">
        <f t="shared" si="4"/>
        <v>2</v>
      </c>
      <c r="J172" s="7">
        <v>422.92</v>
      </c>
      <c r="L172" s="28">
        <f t="shared" ca="1" si="5"/>
        <v>46276.97319409722</v>
      </c>
    </row>
    <row r="173" spans="1:12" ht="15.75" x14ac:dyDescent="0.25">
      <c r="A173" s="3" t="s">
        <v>30</v>
      </c>
      <c r="B173" s="3" t="s">
        <v>55</v>
      </c>
      <c r="C173" s="3" t="s">
        <v>11</v>
      </c>
      <c r="D173" s="3" t="s">
        <v>21</v>
      </c>
      <c r="E173" s="7">
        <v>1029.8</v>
      </c>
      <c r="F173" s="3">
        <v>3</v>
      </c>
      <c r="G173" s="3">
        <v>0</v>
      </c>
      <c r="H173" s="4">
        <v>45708</v>
      </c>
      <c r="I173" s="3">
        <f t="shared" si="4"/>
        <v>2</v>
      </c>
      <c r="J173" s="7">
        <v>257.45</v>
      </c>
      <c r="L173" s="28">
        <f t="shared" ca="1" si="5"/>
        <v>46276.97319409722</v>
      </c>
    </row>
    <row r="174" spans="1:12" ht="15.75" x14ac:dyDescent="0.25">
      <c r="A174" s="3" t="s">
        <v>32</v>
      </c>
      <c r="B174" s="3" t="s">
        <v>31</v>
      </c>
      <c r="C174" s="3" t="s">
        <v>24</v>
      </c>
      <c r="D174" s="3" t="s">
        <v>12</v>
      </c>
      <c r="E174" s="7">
        <v>1189.83</v>
      </c>
      <c r="F174" s="3">
        <v>2</v>
      </c>
      <c r="G174" s="3">
        <v>0.2</v>
      </c>
      <c r="H174" s="4">
        <v>45709</v>
      </c>
      <c r="I174" s="3">
        <f t="shared" si="4"/>
        <v>2</v>
      </c>
      <c r="J174" s="7">
        <v>380.75</v>
      </c>
      <c r="L174" s="28">
        <f t="shared" ca="1" si="5"/>
        <v>46276.97319409722</v>
      </c>
    </row>
    <row r="175" spans="1:12" ht="15.75" x14ac:dyDescent="0.25">
      <c r="A175" s="3" t="s">
        <v>67</v>
      </c>
      <c r="B175" s="3" t="s">
        <v>43</v>
      </c>
      <c r="C175" s="3" t="s">
        <v>20</v>
      </c>
      <c r="D175" s="3" t="s">
        <v>12</v>
      </c>
      <c r="E175" s="7">
        <v>704.28</v>
      </c>
      <c r="F175" s="3">
        <v>15</v>
      </c>
      <c r="G175" s="3">
        <v>0.2</v>
      </c>
      <c r="H175" s="4">
        <v>45712</v>
      </c>
      <c r="I175" s="3">
        <f t="shared" si="4"/>
        <v>2</v>
      </c>
      <c r="J175" s="7">
        <v>225.37</v>
      </c>
      <c r="L175" s="28">
        <f t="shared" ca="1" si="5"/>
        <v>46276.97319409722</v>
      </c>
    </row>
    <row r="176" spans="1:12" ht="15.75" x14ac:dyDescent="0.25">
      <c r="A176" s="3" t="s">
        <v>65</v>
      </c>
      <c r="B176" s="3" t="s">
        <v>47</v>
      </c>
      <c r="C176" s="3" t="s">
        <v>34</v>
      </c>
      <c r="D176" s="3" t="s">
        <v>39</v>
      </c>
      <c r="E176" s="7">
        <v>1618.22</v>
      </c>
      <c r="F176" s="3">
        <v>12</v>
      </c>
      <c r="G176" s="3">
        <v>0.2</v>
      </c>
      <c r="H176" s="4">
        <v>45712</v>
      </c>
      <c r="I176" s="3">
        <f t="shared" si="4"/>
        <v>2</v>
      </c>
      <c r="J176" s="7">
        <v>582.55999999999995</v>
      </c>
      <c r="L176" s="28">
        <f t="shared" ca="1" si="5"/>
        <v>46276.97319409722</v>
      </c>
    </row>
    <row r="177" spans="1:12" ht="15.75" x14ac:dyDescent="0.25">
      <c r="A177" s="3" t="s">
        <v>73</v>
      </c>
      <c r="B177" s="3" t="s">
        <v>53</v>
      </c>
      <c r="C177" s="3" t="s">
        <v>34</v>
      </c>
      <c r="D177" s="3" t="s">
        <v>12</v>
      </c>
      <c r="E177" s="7">
        <v>1014.43</v>
      </c>
      <c r="F177" s="3">
        <v>2</v>
      </c>
      <c r="G177" s="3">
        <v>0.15</v>
      </c>
      <c r="H177" s="4">
        <v>45713</v>
      </c>
      <c r="I177" s="3">
        <f t="shared" si="4"/>
        <v>2</v>
      </c>
      <c r="J177" s="7">
        <v>344.91</v>
      </c>
      <c r="L177" s="28">
        <f t="shared" ca="1" si="5"/>
        <v>46276.97319409722</v>
      </c>
    </row>
    <row r="178" spans="1:12" ht="15.75" x14ac:dyDescent="0.25">
      <c r="A178" s="3" t="s">
        <v>75</v>
      </c>
      <c r="B178" s="3" t="s">
        <v>31</v>
      </c>
      <c r="C178" s="3" t="s">
        <v>34</v>
      </c>
      <c r="D178" s="3" t="s">
        <v>15</v>
      </c>
      <c r="E178" s="7">
        <v>826.97</v>
      </c>
      <c r="F178" s="3">
        <v>18</v>
      </c>
      <c r="G178" s="3">
        <v>0.2</v>
      </c>
      <c r="H178" s="4">
        <v>45715</v>
      </c>
      <c r="I178" s="3">
        <f t="shared" si="4"/>
        <v>2</v>
      </c>
      <c r="J178" s="7">
        <v>330.79</v>
      </c>
      <c r="L178" s="28">
        <f t="shared" ca="1" si="5"/>
        <v>46276.97319409722</v>
      </c>
    </row>
    <row r="179" spans="1:12" ht="15.75" x14ac:dyDescent="0.25">
      <c r="A179" s="3" t="s">
        <v>16</v>
      </c>
      <c r="B179" s="3" t="s">
        <v>31</v>
      </c>
      <c r="C179" s="3" t="s">
        <v>34</v>
      </c>
      <c r="D179" s="3" t="s">
        <v>15</v>
      </c>
      <c r="E179" s="7">
        <v>1022.23</v>
      </c>
      <c r="F179" s="3">
        <v>8</v>
      </c>
      <c r="G179" s="3">
        <v>0.1</v>
      </c>
      <c r="H179" s="4">
        <v>45717</v>
      </c>
      <c r="I179" s="3">
        <f t="shared" si="4"/>
        <v>3</v>
      </c>
      <c r="J179" s="7">
        <v>460</v>
      </c>
      <c r="L179" s="28">
        <f t="shared" ca="1" si="5"/>
        <v>46276.97319409722</v>
      </c>
    </row>
    <row r="180" spans="1:12" ht="15.75" x14ac:dyDescent="0.25">
      <c r="A180" s="3" t="s">
        <v>72</v>
      </c>
      <c r="B180" s="3" t="s">
        <v>29</v>
      </c>
      <c r="C180" s="3" t="s">
        <v>18</v>
      </c>
      <c r="D180" s="3" t="s">
        <v>12</v>
      </c>
      <c r="E180" s="7">
        <v>1099.69</v>
      </c>
      <c r="F180" s="3">
        <v>6</v>
      </c>
      <c r="G180" s="3">
        <v>0</v>
      </c>
      <c r="H180" s="4">
        <v>45718</v>
      </c>
      <c r="I180" s="3">
        <f t="shared" si="4"/>
        <v>3</v>
      </c>
      <c r="J180" s="7">
        <v>439.88</v>
      </c>
      <c r="L180" s="28">
        <f t="shared" ca="1" si="5"/>
        <v>46276.97319409722</v>
      </c>
    </row>
    <row r="181" spans="1:12" ht="15.75" x14ac:dyDescent="0.25">
      <c r="A181" s="3" t="s">
        <v>52</v>
      </c>
      <c r="B181" s="3" t="s">
        <v>64</v>
      </c>
      <c r="C181" s="3" t="s">
        <v>24</v>
      </c>
      <c r="D181" s="3" t="s">
        <v>12</v>
      </c>
      <c r="E181" s="7">
        <v>710.52</v>
      </c>
      <c r="F181" s="3">
        <v>8</v>
      </c>
      <c r="G181" s="3">
        <v>0.1</v>
      </c>
      <c r="H181" s="4">
        <v>45721</v>
      </c>
      <c r="I181" s="3">
        <f t="shared" si="4"/>
        <v>3</v>
      </c>
      <c r="J181" s="7">
        <v>255.79</v>
      </c>
      <c r="L181" s="28">
        <f t="shared" ca="1" si="5"/>
        <v>46276.97319409722</v>
      </c>
    </row>
    <row r="182" spans="1:12" ht="15.75" x14ac:dyDescent="0.25">
      <c r="A182" s="3" t="s">
        <v>52</v>
      </c>
      <c r="B182" s="3" t="s">
        <v>59</v>
      </c>
      <c r="C182" s="3" t="s">
        <v>24</v>
      </c>
      <c r="D182" s="3" t="s">
        <v>12</v>
      </c>
      <c r="E182" s="7">
        <v>499.18</v>
      </c>
      <c r="F182" s="3">
        <v>15</v>
      </c>
      <c r="G182" s="3">
        <v>0.2</v>
      </c>
      <c r="H182" s="4">
        <v>45724</v>
      </c>
      <c r="I182" s="3">
        <f t="shared" si="4"/>
        <v>3</v>
      </c>
      <c r="J182" s="7">
        <v>159.74</v>
      </c>
      <c r="L182" s="28">
        <f t="shared" ca="1" si="5"/>
        <v>46276.97319409722</v>
      </c>
    </row>
    <row r="183" spans="1:12" ht="15.75" x14ac:dyDescent="0.25">
      <c r="A183" s="3" t="s">
        <v>37</v>
      </c>
      <c r="B183" s="3" t="s">
        <v>38</v>
      </c>
      <c r="C183" s="3" t="s">
        <v>20</v>
      </c>
      <c r="D183" s="3" t="s">
        <v>12</v>
      </c>
      <c r="E183" s="7">
        <v>1064.19</v>
      </c>
      <c r="F183" s="3">
        <v>18</v>
      </c>
      <c r="G183" s="3">
        <v>0.05</v>
      </c>
      <c r="H183" s="4">
        <v>45725</v>
      </c>
      <c r="I183" s="3">
        <f t="shared" si="4"/>
        <v>3</v>
      </c>
      <c r="J183" s="7">
        <v>404.39</v>
      </c>
      <c r="L183" s="28">
        <f t="shared" ca="1" si="5"/>
        <v>46276.97319409722</v>
      </c>
    </row>
    <row r="184" spans="1:12" ht="15.75" x14ac:dyDescent="0.25">
      <c r="A184" s="3" t="s">
        <v>67</v>
      </c>
      <c r="B184" s="3" t="s">
        <v>38</v>
      </c>
      <c r="C184" s="3" t="s">
        <v>18</v>
      </c>
      <c r="D184" s="3" t="s">
        <v>39</v>
      </c>
      <c r="E184" s="7">
        <v>438.76</v>
      </c>
      <c r="F184" s="3">
        <v>18</v>
      </c>
      <c r="G184" s="3">
        <v>0.05</v>
      </c>
      <c r="H184" s="4">
        <v>45726</v>
      </c>
      <c r="I184" s="3">
        <f t="shared" si="4"/>
        <v>3</v>
      </c>
      <c r="J184" s="7">
        <v>187.57</v>
      </c>
      <c r="L184" s="28">
        <f t="shared" ca="1" si="5"/>
        <v>46276.97319409722</v>
      </c>
    </row>
    <row r="185" spans="1:12" ht="15.75" x14ac:dyDescent="0.25">
      <c r="A185" s="3" t="s">
        <v>41</v>
      </c>
      <c r="B185" s="3" t="s">
        <v>55</v>
      </c>
      <c r="C185" s="3" t="s">
        <v>11</v>
      </c>
      <c r="D185" s="3" t="s">
        <v>15</v>
      </c>
      <c r="E185" s="7">
        <v>864.98</v>
      </c>
      <c r="F185" s="3">
        <v>2</v>
      </c>
      <c r="G185" s="3">
        <v>0.05</v>
      </c>
      <c r="H185" s="4">
        <v>45727</v>
      </c>
      <c r="I185" s="3">
        <f t="shared" si="4"/>
        <v>3</v>
      </c>
      <c r="J185" s="7">
        <v>410.87</v>
      </c>
      <c r="L185" s="28">
        <f t="shared" ca="1" si="5"/>
        <v>46276.97319409722</v>
      </c>
    </row>
    <row r="186" spans="1:12" ht="15.75" x14ac:dyDescent="0.25">
      <c r="A186" s="3" t="s">
        <v>57</v>
      </c>
      <c r="B186" s="3" t="s">
        <v>55</v>
      </c>
      <c r="C186" s="3" t="s">
        <v>11</v>
      </c>
      <c r="D186" s="3" t="s">
        <v>27</v>
      </c>
      <c r="E186" s="7">
        <v>984.93</v>
      </c>
      <c r="F186" s="3">
        <v>14</v>
      </c>
      <c r="G186" s="3">
        <v>0.2</v>
      </c>
      <c r="H186" s="4">
        <v>45733</v>
      </c>
      <c r="I186" s="3">
        <f t="shared" si="4"/>
        <v>3</v>
      </c>
      <c r="J186" s="7">
        <v>275.77999999999997</v>
      </c>
      <c r="L186" s="28">
        <f t="shared" ca="1" si="5"/>
        <v>46276.97319409722</v>
      </c>
    </row>
    <row r="187" spans="1:12" ht="15.75" x14ac:dyDescent="0.25">
      <c r="A187" s="3" t="s">
        <v>25</v>
      </c>
      <c r="B187" s="3" t="s">
        <v>55</v>
      </c>
      <c r="C187" s="3" t="s">
        <v>11</v>
      </c>
      <c r="D187" s="3" t="s">
        <v>15</v>
      </c>
      <c r="E187" s="7">
        <v>1493.49</v>
      </c>
      <c r="F187" s="3">
        <v>18</v>
      </c>
      <c r="G187" s="3">
        <v>0</v>
      </c>
      <c r="H187" s="4">
        <v>45734</v>
      </c>
      <c r="I187" s="3">
        <f t="shared" si="4"/>
        <v>3</v>
      </c>
      <c r="J187" s="7">
        <v>746.74</v>
      </c>
      <c r="L187" s="28">
        <f t="shared" ca="1" si="5"/>
        <v>46276.97319409722</v>
      </c>
    </row>
    <row r="188" spans="1:12" ht="15.75" x14ac:dyDescent="0.25">
      <c r="A188" s="3" t="s">
        <v>32</v>
      </c>
      <c r="B188" s="3" t="s">
        <v>53</v>
      </c>
      <c r="C188" s="3" t="s">
        <v>20</v>
      </c>
      <c r="D188" s="3" t="s">
        <v>15</v>
      </c>
      <c r="E188" s="7">
        <v>689.43</v>
      </c>
      <c r="F188" s="3">
        <v>9</v>
      </c>
      <c r="G188" s="3">
        <v>0.1</v>
      </c>
      <c r="H188" s="4">
        <v>45736</v>
      </c>
      <c r="I188" s="3">
        <f t="shared" si="4"/>
        <v>3</v>
      </c>
      <c r="J188" s="7">
        <v>310.24</v>
      </c>
      <c r="L188" s="28">
        <f t="shared" ca="1" si="5"/>
        <v>46276.97319409722</v>
      </c>
    </row>
    <row r="189" spans="1:12" ht="15.75" x14ac:dyDescent="0.25">
      <c r="A189" s="3" t="s">
        <v>40</v>
      </c>
      <c r="B189" s="3" t="s">
        <v>59</v>
      </c>
      <c r="C189" s="3" t="s">
        <v>20</v>
      </c>
      <c r="D189" s="3" t="s">
        <v>15</v>
      </c>
      <c r="E189" s="7">
        <v>682.24</v>
      </c>
      <c r="F189" s="3">
        <v>1</v>
      </c>
      <c r="G189" s="3">
        <v>0</v>
      </c>
      <c r="H189" s="4">
        <v>45738</v>
      </c>
      <c r="I189" s="3">
        <f t="shared" si="4"/>
        <v>3</v>
      </c>
      <c r="J189" s="7">
        <v>341.12</v>
      </c>
      <c r="L189" s="28">
        <f t="shared" ca="1" si="5"/>
        <v>46276.97319409722</v>
      </c>
    </row>
    <row r="190" spans="1:12" ht="15.75" x14ac:dyDescent="0.25">
      <c r="A190" s="3" t="s">
        <v>41</v>
      </c>
      <c r="B190" s="3" t="s">
        <v>26</v>
      </c>
      <c r="C190" s="3" t="s">
        <v>24</v>
      </c>
      <c r="D190" s="3" t="s">
        <v>21</v>
      </c>
      <c r="E190" s="7">
        <v>458.54</v>
      </c>
      <c r="F190" s="3">
        <v>15</v>
      </c>
      <c r="G190" s="3">
        <v>0.2</v>
      </c>
      <c r="H190" s="4">
        <v>45741</v>
      </c>
      <c r="I190" s="3">
        <f t="shared" si="4"/>
        <v>3</v>
      </c>
      <c r="J190" s="7">
        <v>91.71</v>
      </c>
      <c r="L190" s="28">
        <f t="shared" ca="1" si="5"/>
        <v>46276.97319409722</v>
      </c>
    </row>
    <row r="191" spans="1:12" ht="15.75" x14ac:dyDescent="0.25">
      <c r="A191" s="3" t="s">
        <v>32</v>
      </c>
      <c r="B191" s="3" t="s">
        <v>26</v>
      </c>
      <c r="C191" s="3" t="s">
        <v>20</v>
      </c>
      <c r="D191" s="3" t="s">
        <v>27</v>
      </c>
      <c r="E191" s="7">
        <v>1184.25</v>
      </c>
      <c r="F191" s="3">
        <v>11</v>
      </c>
      <c r="G191" s="3">
        <v>0.2</v>
      </c>
      <c r="H191" s="4">
        <v>45742</v>
      </c>
      <c r="I191" s="3">
        <f t="shared" si="4"/>
        <v>3</v>
      </c>
      <c r="J191" s="7">
        <v>331.59</v>
      </c>
      <c r="L191" s="28">
        <f t="shared" ca="1" si="5"/>
        <v>46276.97319409722</v>
      </c>
    </row>
    <row r="192" spans="1:12" ht="15.75" x14ac:dyDescent="0.25">
      <c r="A192" s="3" t="s">
        <v>25</v>
      </c>
      <c r="B192" s="3" t="s">
        <v>10</v>
      </c>
      <c r="C192" s="3" t="s">
        <v>20</v>
      </c>
      <c r="D192" s="3" t="s">
        <v>15</v>
      </c>
      <c r="E192" s="7">
        <v>762.14</v>
      </c>
      <c r="F192" s="3">
        <v>9</v>
      </c>
      <c r="G192" s="3">
        <v>0</v>
      </c>
      <c r="H192" s="4">
        <v>45743</v>
      </c>
      <c r="I192" s="3">
        <f t="shared" si="4"/>
        <v>3</v>
      </c>
      <c r="J192" s="7">
        <v>381.07</v>
      </c>
      <c r="L192" s="28">
        <f t="shared" ca="1" si="5"/>
        <v>46276.97319409722</v>
      </c>
    </row>
    <row r="193" spans="1:12" ht="15.75" x14ac:dyDescent="0.25">
      <c r="A193" s="3" t="s">
        <v>22</v>
      </c>
      <c r="B193" s="3" t="s">
        <v>53</v>
      </c>
      <c r="C193" s="3" t="s">
        <v>24</v>
      </c>
      <c r="D193" s="3" t="s">
        <v>12</v>
      </c>
      <c r="E193" s="7">
        <v>750.71</v>
      </c>
      <c r="F193" s="3">
        <v>10</v>
      </c>
      <c r="G193" s="3">
        <v>0.15</v>
      </c>
      <c r="H193" s="4">
        <v>45743</v>
      </c>
      <c r="I193" s="3">
        <f t="shared" si="4"/>
        <v>3</v>
      </c>
      <c r="J193" s="7">
        <v>255.24</v>
      </c>
      <c r="L193" s="28">
        <f t="shared" ca="1" si="5"/>
        <v>46276.97319409722</v>
      </c>
    </row>
    <row r="194" spans="1:12" ht="15.75" x14ac:dyDescent="0.25">
      <c r="A194" s="3" t="s">
        <v>75</v>
      </c>
      <c r="B194" s="3" t="s">
        <v>71</v>
      </c>
      <c r="C194" s="3" t="s">
        <v>34</v>
      </c>
      <c r="D194" s="3" t="s">
        <v>15</v>
      </c>
      <c r="E194" s="7">
        <v>1456.94</v>
      </c>
      <c r="F194" s="3">
        <v>14</v>
      </c>
      <c r="G194" s="3">
        <v>0.05</v>
      </c>
      <c r="H194" s="4">
        <v>45745</v>
      </c>
      <c r="I194" s="3">
        <f t="shared" si="4"/>
        <v>3</v>
      </c>
      <c r="J194" s="7">
        <v>692.05</v>
      </c>
      <c r="L194" s="28">
        <f t="shared" ca="1" si="5"/>
        <v>46276.97319409722</v>
      </c>
    </row>
    <row r="195" spans="1:12" ht="15.75" x14ac:dyDescent="0.25">
      <c r="A195" s="3" t="s">
        <v>44</v>
      </c>
      <c r="B195" s="3" t="s">
        <v>61</v>
      </c>
      <c r="C195" s="3" t="s">
        <v>18</v>
      </c>
      <c r="D195" s="3" t="s">
        <v>27</v>
      </c>
      <c r="E195" s="7">
        <v>1093.3800000000001</v>
      </c>
      <c r="F195" s="3">
        <v>17</v>
      </c>
      <c r="G195" s="3">
        <v>0.1</v>
      </c>
      <c r="H195" s="4">
        <v>45745</v>
      </c>
      <c r="I195" s="3">
        <f t="shared" ref="I195:I201" si="6">MONTH(H195)</f>
        <v>3</v>
      </c>
      <c r="J195" s="7">
        <v>344.41</v>
      </c>
      <c r="L195" s="28">
        <f t="shared" ref="L195:L201" ca="1" si="7">NOW()</f>
        <v>46276.97319409722</v>
      </c>
    </row>
    <row r="196" spans="1:12" ht="15.75" x14ac:dyDescent="0.25">
      <c r="A196" s="3" t="s">
        <v>37</v>
      </c>
      <c r="B196" s="3" t="s">
        <v>43</v>
      </c>
      <c r="C196" s="3" t="s">
        <v>11</v>
      </c>
      <c r="D196" s="3" t="s">
        <v>15</v>
      </c>
      <c r="E196" s="7">
        <v>934.27</v>
      </c>
      <c r="F196" s="3">
        <v>8</v>
      </c>
      <c r="G196" s="3">
        <v>0.15</v>
      </c>
      <c r="H196" s="4">
        <v>45746</v>
      </c>
      <c r="I196" s="3">
        <f t="shared" si="6"/>
        <v>3</v>
      </c>
      <c r="J196" s="7">
        <v>397.06</v>
      </c>
      <c r="L196" s="28">
        <f t="shared" ca="1" si="7"/>
        <v>46276.97319409722</v>
      </c>
    </row>
    <row r="197" spans="1:12" ht="15.75" x14ac:dyDescent="0.25">
      <c r="A197" s="3" t="s">
        <v>70</v>
      </c>
      <c r="B197" s="3" t="s">
        <v>36</v>
      </c>
      <c r="C197" s="3" t="s">
        <v>34</v>
      </c>
      <c r="D197" s="3" t="s">
        <v>15</v>
      </c>
      <c r="E197" s="7">
        <v>1465.35</v>
      </c>
      <c r="F197" s="3">
        <v>8</v>
      </c>
      <c r="G197" s="3">
        <v>0.2</v>
      </c>
      <c r="H197" s="4">
        <v>45746</v>
      </c>
      <c r="I197" s="3">
        <f t="shared" si="6"/>
        <v>3</v>
      </c>
      <c r="J197" s="7">
        <v>586.14</v>
      </c>
      <c r="L197" s="28">
        <f t="shared" ca="1" si="7"/>
        <v>46276.97319409722</v>
      </c>
    </row>
    <row r="198" spans="1:12" ht="15.75" x14ac:dyDescent="0.25">
      <c r="A198" s="3" t="s">
        <v>52</v>
      </c>
      <c r="B198" s="3" t="s">
        <v>14</v>
      </c>
      <c r="C198" s="3" t="s">
        <v>20</v>
      </c>
      <c r="D198" s="3" t="s">
        <v>39</v>
      </c>
      <c r="E198" s="7">
        <v>740.8</v>
      </c>
      <c r="F198" s="3">
        <v>3</v>
      </c>
      <c r="G198" s="3">
        <v>0</v>
      </c>
      <c r="H198" s="4">
        <v>45749</v>
      </c>
      <c r="I198" s="3">
        <f t="shared" si="6"/>
        <v>4</v>
      </c>
      <c r="J198" s="7">
        <v>333.36</v>
      </c>
      <c r="L198" s="28">
        <f t="shared" ca="1" si="7"/>
        <v>46276.97319409722</v>
      </c>
    </row>
    <row r="199" spans="1:12" ht="15.75" x14ac:dyDescent="0.25">
      <c r="A199" s="3" t="s">
        <v>58</v>
      </c>
      <c r="B199" s="3" t="s">
        <v>43</v>
      </c>
      <c r="C199" s="3" t="s">
        <v>11</v>
      </c>
      <c r="D199" s="3" t="s">
        <v>39</v>
      </c>
      <c r="E199" s="7">
        <v>545.44000000000005</v>
      </c>
      <c r="F199" s="3">
        <v>17</v>
      </c>
      <c r="G199" s="3">
        <v>0</v>
      </c>
      <c r="H199" s="4">
        <v>45752</v>
      </c>
      <c r="I199" s="3">
        <f t="shared" si="6"/>
        <v>4</v>
      </c>
      <c r="J199" s="7">
        <v>245.45</v>
      </c>
      <c r="L199" s="28">
        <f t="shared" ca="1" si="7"/>
        <v>46276.97319409722</v>
      </c>
    </row>
    <row r="200" spans="1:12" ht="15.75" x14ac:dyDescent="0.25">
      <c r="A200" s="3" t="s">
        <v>35</v>
      </c>
      <c r="B200" s="3" t="s">
        <v>36</v>
      </c>
      <c r="C200" s="3" t="s">
        <v>18</v>
      </c>
      <c r="D200" s="3" t="s">
        <v>12</v>
      </c>
      <c r="E200" s="7">
        <v>997.61</v>
      </c>
      <c r="F200" s="3">
        <v>8</v>
      </c>
      <c r="G200" s="3">
        <v>0.05</v>
      </c>
      <c r="H200" s="4">
        <v>45752</v>
      </c>
      <c r="I200" s="3">
        <f t="shared" si="6"/>
        <v>4</v>
      </c>
      <c r="J200" s="7">
        <v>379.09</v>
      </c>
      <c r="L200" s="28">
        <f t="shared" ca="1" si="7"/>
        <v>46276.97319409722</v>
      </c>
    </row>
    <row r="201" spans="1:12" ht="15.75" x14ac:dyDescent="0.25">
      <c r="A201" s="3" t="s">
        <v>60</v>
      </c>
      <c r="B201" s="3" t="s">
        <v>36</v>
      </c>
      <c r="C201" s="3" t="s">
        <v>20</v>
      </c>
      <c r="D201" s="3" t="s">
        <v>15</v>
      </c>
      <c r="E201" s="7">
        <v>928.32</v>
      </c>
      <c r="F201" s="3">
        <v>2</v>
      </c>
      <c r="G201" s="3">
        <v>0.05</v>
      </c>
      <c r="H201" s="4">
        <v>45754</v>
      </c>
      <c r="I201" s="3">
        <f t="shared" si="6"/>
        <v>4</v>
      </c>
      <c r="J201" s="7">
        <v>440.95</v>
      </c>
      <c r="L201" s="28">
        <f t="shared" ca="1" si="7"/>
        <v>46276.97319409722</v>
      </c>
    </row>
  </sheetData>
  <conditionalFormatting sqref="E1:E1048576">
    <cfRule type="top10" dxfId="3" priority="2" rank="10"/>
  </conditionalFormatting>
  <conditionalFormatting sqref="J1:J201 A1:G201">
    <cfRule type="top10" dxfId="2" priority="4"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65036-7C7D-418B-BF38-0AAE6EB928C7}">
  <dimension ref="A1:J31"/>
  <sheetViews>
    <sheetView workbookViewId="0">
      <selection activeCell="A9" sqref="A9"/>
    </sheetView>
  </sheetViews>
  <sheetFormatPr defaultRowHeight="15" x14ac:dyDescent="0.25"/>
  <cols>
    <col min="1" max="1" width="18" bestFit="1" customWidth="1"/>
    <col min="2" max="2" width="12.5703125" bestFit="1" customWidth="1"/>
    <col min="6" max="6" width="11.28515625" bestFit="1" customWidth="1"/>
    <col min="7" max="7" width="13.140625" bestFit="1" customWidth="1"/>
    <col min="8" max="8" width="12.28515625" bestFit="1" customWidth="1"/>
    <col min="10" max="10" width="44.42578125" customWidth="1"/>
  </cols>
  <sheetData>
    <row r="1" spans="1:10" ht="15.75" x14ac:dyDescent="0.25">
      <c r="A1" s="31" t="s">
        <v>128</v>
      </c>
      <c r="B1" s="32" t="s">
        <v>129</v>
      </c>
    </row>
    <row r="2" spans="1:10" ht="21" customHeight="1" x14ac:dyDescent="0.25">
      <c r="A2" s="32" t="s">
        <v>23</v>
      </c>
      <c r="B2" s="33">
        <v>20774.739999999998</v>
      </c>
      <c r="E2" s="34" t="s">
        <v>130</v>
      </c>
      <c r="F2" s="34"/>
      <c r="G2" s="34"/>
      <c r="H2" s="34"/>
      <c r="I2" s="34"/>
      <c r="J2" s="34"/>
    </row>
    <row r="3" spans="1:10" ht="15.75" x14ac:dyDescent="0.25">
      <c r="A3" s="32" t="s">
        <v>31</v>
      </c>
      <c r="B3" s="33">
        <v>17143.289999999997</v>
      </c>
      <c r="E3" s="34"/>
      <c r="F3" s="34"/>
      <c r="G3" s="34"/>
      <c r="H3" s="34"/>
      <c r="I3" s="34"/>
      <c r="J3" s="34"/>
    </row>
    <row r="4" spans="1:10" ht="15.75" x14ac:dyDescent="0.25">
      <c r="A4" s="32" t="s">
        <v>55</v>
      </c>
      <c r="B4" s="33">
        <v>11915.829999999998</v>
      </c>
    </row>
    <row r="5" spans="1:10" ht="15.75" x14ac:dyDescent="0.25">
      <c r="A5" s="32" t="s">
        <v>38</v>
      </c>
      <c r="B5" s="33">
        <v>11398.32</v>
      </c>
    </row>
    <row r="6" spans="1:10" ht="15.75" x14ac:dyDescent="0.25">
      <c r="A6" s="32" t="s">
        <v>29</v>
      </c>
      <c r="B6" s="33">
        <v>9970.1999999999989</v>
      </c>
    </row>
    <row r="7" spans="1:10" ht="15.75" x14ac:dyDescent="0.25">
      <c r="A7" s="32" t="s">
        <v>45</v>
      </c>
      <c r="B7" s="33">
        <v>8635.9500000000007</v>
      </c>
      <c r="F7" s="35" t="s">
        <v>131</v>
      </c>
      <c r="G7" s="35"/>
      <c r="H7" s="35"/>
    </row>
    <row r="8" spans="1:10" ht="15.75" x14ac:dyDescent="0.25">
      <c r="A8" s="32" t="s">
        <v>61</v>
      </c>
      <c r="B8" s="33">
        <v>8543.9699999999993</v>
      </c>
      <c r="F8" s="23" t="s">
        <v>4</v>
      </c>
      <c r="G8" s="23" t="s">
        <v>132</v>
      </c>
      <c r="H8" s="23" t="s">
        <v>133</v>
      </c>
    </row>
    <row r="9" spans="1:10" ht="15.75" x14ac:dyDescent="0.25">
      <c r="A9" s="32" t="s">
        <v>14</v>
      </c>
      <c r="B9" s="33">
        <v>8331.8499999999985</v>
      </c>
      <c r="F9" s="22">
        <f>MAX(B2:B28)</f>
        <v>20774.739999999998</v>
      </c>
      <c r="G9" s="23" t="str">
        <f>INDEX(A2:A28,MATCH(F9,B2:B28,0))</f>
        <v>James Wilson</v>
      </c>
      <c r="H9" s="23" t="str">
        <f>INDEX('Data Sheet'!A2:A201,MATCH('High Value Customer'!G9,'Data Sheet'!B2:B201,0))</f>
        <v>CUST030</v>
      </c>
    </row>
    <row r="10" spans="1:10" ht="15.75" x14ac:dyDescent="0.25">
      <c r="A10" s="32" t="s">
        <v>48</v>
      </c>
      <c r="B10" s="33">
        <v>8090.12</v>
      </c>
    </row>
    <row r="11" spans="1:10" ht="15.75" x14ac:dyDescent="0.25">
      <c r="A11" s="32" t="s">
        <v>26</v>
      </c>
      <c r="B11" s="33">
        <v>7881.9</v>
      </c>
    </row>
    <row r="12" spans="1:10" ht="15.75" x14ac:dyDescent="0.25">
      <c r="A12" s="32" t="s">
        <v>53</v>
      </c>
      <c r="B12" s="33">
        <v>7522.77</v>
      </c>
    </row>
    <row r="13" spans="1:10" ht="15.75" x14ac:dyDescent="0.25">
      <c r="A13" s="32" t="s">
        <v>43</v>
      </c>
      <c r="B13" s="33">
        <v>7296.1900000000005</v>
      </c>
    </row>
    <row r="14" spans="1:10" ht="15.75" x14ac:dyDescent="0.25">
      <c r="A14" s="32" t="s">
        <v>47</v>
      </c>
      <c r="B14" s="33">
        <v>7251.18</v>
      </c>
    </row>
    <row r="15" spans="1:10" ht="15.75" x14ac:dyDescent="0.25">
      <c r="A15" s="32" t="s">
        <v>36</v>
      </c>
      <c r="B15" s="33">
        <v>7020.3799999999992</v>
      </c>
    </row>
    <row r="16" spans="1:10" ht="15.75" x14ac:dyDescent="0.25">
      <c r="A16" s="32" t="s">
        <v>10</v>
      </c>
      <c r="B16" s="33">
        <v>6255.7</v>
      </c>
    </row>
    <row r="17" spans="1:2" ht="15.75" x14ac:dyDescent="0.25">
      <c r="A17" s="32" t="s">
        <v>50</v>
      </c>
      <c r="B17" s="33">
        <v>5801.29</v>
      </c>
    </row>
    <row r="18" spans="1:2" ht="15.75" x14ac:dyDescent="0.25">
      <c r="A18" s="32" t="s">
        <v>64</v>
      </c>
      <c r="B18" s="33">
        <v>5771.59</v>
      </c>
    </row>
    <row r="19" spans="1:2" ht="15.75" x14ac:dyDescent="0.25">
      <c r="A19" s="32" t="s">
        <v>17</v>
      </c>
      <c r="B19" s="33">
        <v>5615.2800000000007</v>
      </c>
    </row>
    <row r="20" spans="1:2" ht="15.75" x14ac:dyDescent="0.25">
      <c r="A20" s="32" t="s">
        <v>71</v>
      </c>
      <c r="B20" s="33">
        <v>5465.71</v>
      </c>
    </row>
    <row r="21" spans="1:2" ht="15.75" x14ac:dyDescent="0.25">
      <c r="A21" s="32" t="s">
        <v>59</v>
      </c>
      <c r="B21" s="33">
        <v>5443.34</v>
      </c>
    </row>
    <row r="22" spans="1:2" ht="15.75" x14ac:dyDescent="0.25">
      <c r="A22" s="32" t="s">
        <v>66</v>
      </c>
      <c r="B22" s="33">
        <v>5014.96</v>
      </c>
    </row>
    <row r="23" spans="1:2" ht="15.75" x14ac:dyDescent="0.25">
      <c r="A23" s="32" t="s">
        <v>33</v>
      </c>
      <c r="B23" s="33">
        <v>3968.59</v>
      </c>
    </row>
    <row r="24" spans="1:2" ht="15.75" x14ac:dyDescent="0.25">
      <c r="A24" s="32" t="s">
        <v>56</v>
      </c>
      <c r="B24" s="33">
        <v>3819.1400000000003</v>
      </c>
    </row>
    <row r="25" spans="1:2" ht="15.75" x14ac:dyDescent="0.25">
      <c r="A25" s="32" t="s">
        <v>69</v>
      </c>
      <c r="B25" s="33">
        <v>2304.9</v>
      </c>
    </row>
    <row r="26" spans="1:2" ht="15.75" x14ac:dyDescent="0.25">
      <c r="A26" s="32" t="s">
        <v>42</v>
      </c>
      <c r="B26" s="33">
        <v>1672.88</v>
      </c>
    </row>
    <row r="27" spans="1:2" ht="15.75" x14ac:dyDescent="0.25">
      <c r="A27" s="32" t="s">
        <v>51</v>
      </c>
      <c r="B27" s="33">
        <v>1450.99</v>
      </c>
    </row>
    <row r="28" spans="1:2" ht="15.75" x14ac:dyDescent="0.25">
      <c r="A28" s="32" t="s">
        <v>62</v>
      </c>
      <c r="B28" s="33">
        <v>856.7</v>
      </c>
    </row>
    <row r="30" spans="1:2" x14ac:dyDescent="0.25">
      <c r="A30" s="30"/>
      <c r="B30" s="30"/>
    </row>
    <row r="31" spans="1:2" x14ac:dyDescent="0.25">
      <c r="A31" s="30"/>
      <c r="B31" s="30"/>
    </row>
  </sheetData>
  <mergeCells count="2">
    <mergeCell ref="E2:J3"/>
    <mergeCell ref="F7:H7"/>
  </mergeCells>
  <conditionalFormatting pivot="1" sqref="B2:B28">
    <cfRule type="top10" dxfId="1" priority="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CB146-541C-4D26-9079-D7DEB68F1728}">
  <dimension ref="A1:G28"/>
  <sheetViews>
    <sheetView zoomScale="150" workbookViewId="0">
      <selection activeCell="C16" sqref="C16"/>
    </sheetView>
  </sheetViews>
  <sheetFormatPr defaultRowHeight="15" x14ac:dyDescent="0.25"/>
  <cols>
    <col min="1" max="1" width="15.140625" bestFit="1" customWidth="1"/>
    <col min="2" max="6" width="12.5703125" bestFit="1" customWidth="1"/>
    <col min="7" max="7" width="14.42578125" bestFit="1" customWidth="1"/>
  </cols>
  <sheetData>
    <row r="1" spans="1:7" ht="15.75" x14ac:dyDescent="0.25">
      <c r="A1" s="31" t="s">
        <v>105</v>
      </c>
      <c r="B1" s="32"/>
      <c r="C1" s="32"/>
      <c r="D1" s="32"/>
      <c r="E1" s="32"/>
      <c r="F1" s="32"/>
      <c r="G1" s="32"/>
    </row>
    <row r="2" spans="1:7" ht="15.75" x14ac:dyDescent="0.25">
      <c r="A2" s="32"/>
      <c r="B2" s="32" t="s">
        <v>34</v>
      </c>
      <c r="C2" s="32" t="s">
        <v>18</v>
      </c>
      <c r="D2" s="32" t="s">
        <v>24</v>
      </c>
      <c r="E2" s="32" t="s">
        <v>20</v>
      </c>
      <c r="F2" s="32" t="s">
        <v>11</v>
      </c>
      <c r="G2" s="32" t="s">
        <v>103</v>
      </c>
    </row>
    <row r="3" spans="1:7" ht="15.75" x14ac:dyDescent="0.25">
      <c r="A3" s="32" t="s">
        <v>12</v>
      </c>
      <c r="B3" s="33">
        <v>11297.150000000001</v>
      </c>
      <c r="C3" s="33">
        <v>11389.090000000002</v>
      </c>
      <c r="D3" s="33">
        <v>8037.0100000000011</v>
      </c>
      <c r="E3" s="33">
        <v>9588.0400000000009</v>
      </c>
      <c r="F3" s="33">
        <v>6691.17</v>
      </c>
      <c r="G3" s="33">
        <v>47002.460000000006</v>
      </c>
    </row>
    <row r="4" spans="1:7" ht="15.75" x14ac:dyDescent="0.25">
      <c r="A4" s="32" t="s">
        <v>15</v>
      </c>
      <c r="B4" s="33">
        <v>12200.26</v>
      </c>
      <c r="C4" s="33">
        <v>2401.4499999999998</v>
      </c>
      <c r="D4" s="33">
        <v>8422.82</v>
      </c>
      <c r="E4" s="33">
        <v>8393.630000000001</v>
      </c>
      <c r="F4" s="33">
        <v>10509.429999999998</v>
      </c>
      <c r="G4" s="33">
        <v>41927.589999999997</v>
      </c>
    </row>
    <row r="5" spans="1:7" ht="15.75" x14ac:dyDescent="0.25">
      <c r="A5" s="32" t="s">
        <v>21</v>
      </c>
      <c r="B5" s="33">
        <v>6621.24</v>
      </c>
      <c r="C5" s="33">
        <v>2869.54</v>
      </c>
      <c r="D5" s="33">
        <v>8191.7099999999991</v>
      </c>
      <c r="E5" s="33">
        <v>11989.070000000003</v>
      </c>
      <c r="F5" s="33">
        <v>11372.44</v>
      </c>
      <c r="G5" s="33">
        <v>41044</v>
      </c>
    </row>
    <row r="6" spans="1:7" ht="15.75" x14ac:dyDescent="0.25">
      <c r="A6" s="32" t="s">
        <v>27</v>
      </c>
      <c r="B6" s="33">
        <v>4876.96</v>
      </c>
      <c r="C6" s="33">
        <v>7592.3399999999992</v>
      </c>
      <c r="D6" s="33">
        <v>6978.08</v>
      </c>
      <c r="E6" s="33">
        <v>7982.73</v>
      </c>
      <c r="F6" s="33">
        <v>9182.7800000000007</v>
      </c>
      <c r="G6" s="33">
        <v>36612.89</v>
      </c>
    </row>
    <row r="7" spans="1:7" ht="15.75" x14ac:dyDescent="0.25">
      <c r="A7" s="32" t="s">
        <v>39</v>
      </c>
      <c r="B7" s="33">
        <v>8472.7199999999993</v>
      </c>
      <c r="C7" s="33">
        <v>8189.2200000000012</v>
      </c>
      <c r="D7" s="33">
        <v>3345.8</v>
      </c>
      <c r="E7" s="33">
        <v>2295.3199999999997</v>
      </c>
      <c r="F7" s="33">
        <v>6327.76</v>
      </c>
      <c r="G7" s="33">
        <v>28630.82</v>
      </c>
    </row>
    <row r="8" spans="1:7" ht="15.75" x14ac:dyDescent="0.25">
      <c r="A8" s="32" t="s">
        <v>103</v>
      </c>
      <c r="B8" s="33">
        <v>43468.33</v>
      </c>
      <c r="C8" s="33">
        <v>32441.640000000003</v>
      </c>
      <c r="D8" s="33">
        <v>34975.420000000006</v>
      </c>
      <c r="E8" s="33">
        <v>40248.79</v>
      </c>
      <c r="F8" s="33">
        <v>44083.58</v>
      </c>
      <c r="G8" s="33">
        <v>195217.76</v>
      </c>
    </row>
    <row r="9" spans="1:7" ht="15.75" x14ac:dyDescent="0.25"/>
    <row r="10" spans="1:7" ht="15.75" x14ac:dyDescent="0.25"/>
    <row r="11" spans="1:7" ht="15.75" x14ac:dyDescent="0.25"/>
    <row r="12" spans="1:7" ht="15.75" x14ac:dyDescent="0.25"/>
    <row r="13" spans="1:7" ht="15.75" x14ac:dyDescent="0.25"/>
    <row r="14" spans="1:7" ht="15.75" x14ac:dyDescent="0.25"/>
    <row r="15" spans="1:7" ht="15.75" x14ac:dyDescent="0.25"/>
    <row r="16" spans="1:7" ht="15.75" x14ac:dyDescent="0.25"/>
    <row r="17" ht="15.75" x14ac:dyDescent="0.25"/>
    <row r="18" ht="15.75" x14ac:dyDescent="0.25"/>
    <row r="19" ht="15.75" x14ac:dyDescent="0.25"/>
    <row r="20" ht="15.75" x14ac:dyDescent="0.25"/>
    <row r="21" ht="15.75" x14ac:dyDescent="0.25"/>
    <row r="22" ht="15.75" x14ac:dyDescent="0.25"/>
    <row r="23" ht="15.75" x14ac:dyDescent="0.25"/>
    <row r="24" ht="15.75" x14ac:dyDescent="0.25"/>
    <row r="25" ht="15.75" x14ac:dyDescent="0.25"/>
    <row r="26" ht="15.75" x14ac:dyDescent="0.25"/>
    <row r="27" ht="15.75" x14ac:dyDescent="0.25"/>
    <row r="28" ht="15.7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0FC2A-8CB9-4267-AF24-D02789E22A4B}">
  <dimension ref="B5:J10"/>
  <sheetViews>
    <sheetView workbookViewId="0">
      <selection activeCell="J10" sqref="J10"/>
    </sheetView>
  </sheetViews>
  <sheetFormatPr defaultRowHeight="15" x14ac:dyDescent="0.25"/>
  <cols>
    <col min="2" max="2" width="20.7109375" bestFit="1" customWidth="1"/>
    <col min="3" max="3" width="12.85546875" bestFit="1" customWidth="1"/>
    <col min="6" max="6" width="17.85546875" customWidth="1"/>
    <col min="7" max="7" width="11.28515625" bestFit="1" customWidth="1"/>
    <col min="10" max="11" width="13.7109375" bestFit="1" customWidth="1"/>
  </cols>
  <sheetData>
    <row r="5" spans="2:10" x14ac:dyDescent="0.25">
      <c r="B5" s="10" t="s">
        <v>108</v>
      </c>
      <c r="C5" s="19">
        <f>AVERAGE('Data Sheet'!G2:G201)</f>
        <v>9.7250000000000003E-2</v>
      </c>
      <c r="E5" s="29" t="s">
        <v>76</v>
      </c>
      <c r="F5" s="29"/>
      <c r="G5" s="20">
        <v>0.1</v>
      </c>
      <c r="I5" s="23"/>
      <c r="J5" s="21">
        <f>G6</f>
        <v>67750.161160000018</v>
      </c>
    </row>
    <row r="6" spans="2:10" x14ac:dyDescent="0.25">
      <c r="B6" s="10" t="s">
        <v>109</v>
      </c>
      <c r="C6" s="11">
        <f>SUM('Data Sheet'!E2:E201)</f>
        <v>195217.75999999992</v>
      </c>
      <c r="E6" s="29" t="s">
        <v>111</v>
      </c>
      <c r="F6" s="29"/>
      <c r="G6" s="11">
        <f>SUM(C6*(1-G5)-(C6*(1-C5)-C7))</f>
        <v>67750.161160000018</v>
      </c>
      <c r="I6" s="24">
        <v>0</v>
      </c>
      <c r="J6" s="22">
        <f t="dataTable" ref="J6:J10" dt2D="0" dtr="0" r1="G5"/>
        <v>87271.937160000001</v>
      </c>
    </row>
    <row r="7" spans="2:10" x14ac:dyDescent="0.25">
      <c r="B7" s="10" t="s">
        <v>110</v>
      </c>
      <c r="C7" s="11">
        <f>SUM('Data Sheet'!J2:J201)</f>
        <v>68287.010000000009</v>
      </c>
      <c r="E7" s="29" t="s">
        <v>112</v>
      </c>
      <c r="F7" s="29"/>
      <c r="G7" s="11">
        <f>G6-C7</f>
        <v>-536.84883999999147</v>
      </c>
      <c r="I7" s="24">
        <v>0.05</v>
      </c>
      <c r="J7" s="22">
        <v>77511.049159999995</v>
      </c>
    </row>
    <row r="8" spans="2:10" x14ac:dyDescent="0.25">
      <c r="D8" s="18"/>
      <c r="I8" s="24">
        <v>0.1</v>
      </c>
      <c r="J8" s="22">
        <v>67750.161160000018</v>
      </c>
    </row>
    <row r="9" spans="2:10" x14ac:dyDescent="0.25">
      <c r="I9" s="24">
        <v>0.15</v>
      </c>
      <c r="J9" s="22">
        <v>57989.273160000012</v>
      </c>
    </row>
    <row r="10" spans="2:10" x14ac:dyDescent="0.25">
      <c r="I10" s="24">
        <v>0.2</v>
      </c>
      <c r="J10" s="22">
        <v>48228.385160000034</v>
      </c>
    </row>
  </sheetData>
  <mergeCells count="3">
    <mergeCell ref="E5:F5"/>
    <mergeCell ref="E6:F6"/>
    <mergeCell ref="E7:F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1889A-81D5-489A-BC51-5F29CACA22C3}">
  <dimension ref="A1:I18"/>
  <sheetViews>
    <sheetView tabSelected="1" workbookViewId="0">
      <selection activeCell="O25" sqref="O25"/>
    </sheetView>
  </sheetViews>
  <sheetFormatPr defaultRowHeight="15" x14ac:dyDescent="0.25"/>
  <cols>
    <col min="1" max="1" width="18" bestFit="1" customWidth="1"/>
    <col min="2" max="2" width="12" bestFit="1" customWidth="1"/>
    <col min="3" max="3" width="14.5703125" bestFit="1" customWidth="1"/>
    <col min="4" max="4" width="12.7109375" bestFit="1" customWidth="1"/>
    <col min="5" max="5" width="12" bestFit="1" customWidth="1"/>
    <col min="6" max="6" width="13.42578125" bestFit="1" customWidth="1"/>
    <col min="7" max="7" width="12" bestFit="1" customWidth="1"/>
    <col min="8" max="8" width="12.7109375" bestFit="1" customWidth="1"/>
    <col min="9" max="9" width="12.5703125" bestFit="1" customWidth="1"/>
  </cols>
  <sheetData>
    <row r="1" spans="1:9" x14ac:dyDescent="0.25">
      <c r="A1" t="s">
        <v>77</v>
      </c>
    </row>
    <row r="2" spans="1:9" ht="15.75" thickBot="1" x14ac:dyDescent="0.3"/>
    <row r="3" spans="1:9" x14ac:dyDescent="0.25">
      <c r="A3" s="14" t="s">
        <v>78</v>
      </c>
      <c r="B3" s="14"/>
    </row>
    <row r="4" spans="1:9" x14ac:dyDescent="0.25">
      <c r="A4" t="s">
        <v>79</v>
      </c>
      <c r="B4">
        <v>0.77340306414342619</v>
      </c>
    </row>
    <row r="5" spans="1:9" x14ac:dyDescent="0.25">
      <c r="A5" t="s">
        <v>80</v>
      </c>
      <c r="B5">
        <v>0.59815229962644056</v>
      </c>
    </row>
    <row r="6" spans="1:9" x14ac:dyDescent="0.25">
      <c r="A6" t="s">
        <v>81</v>
      </c>
      <c r="B6">
        <v>0.59612276578617007</v>
      </c>
    </row>
    <row r="7" spans="1:9" x14ac:dyDescent="0.25">
      <c r="A7" t="s">
        <v>82</v>
      </c>
      <c r="B7">
        <v>86.281230529665166</v>
      </c>
    </row>
    <row r="8" spans="1:9" ht="15.75" thickBot="1" x14ac:dyDescent="0.3">
      <c r="A8" s="12" t="s">
        <v>83</v>
      </c>
      <c r="B8" s="12">
        <v>200</v>
      </c>
    </row>
    <row r="10" spans="1:9" ht="15.75" thickBot="1" x14ac:dyDescent="0.3">
      <c r="A10" t="s">
        <v>84</v>
      </c>
    </row>
    <row r="11" spans="1:9" x14ac:dyDescent="0.25">
      <c r="A11" s="13"/>
      <c r="B11" s="13" t="s">
        <v>89</v>
      </c>
      <c r="C11" s="13" t="s">
        <v>90</v>
      </c>
      <c r="D11" s="13" t="s">
        <v>91</v>
      </c>
      <c r="E11" s="13" t="s">
        <v>92</v>
      </c>
      <c r="F11" s="13" t="s">
        <v>93</v>
      </c>
    </row>
    <row r="12" spans="1:9" x14ac:dyDescent="0.25">
      <c r="A12" t="s">
        <v>85</v>
      </c>
      <c r="B12">
        <v>1</v>
      </c>
      <c r="C12">
        <v>2194058.1833402822</v>
      </c>
      <c r="D12">
        <v>2194058.1833402822</v>
      </c>
      <c r="E12">
        <v>294.72398427548114</v>
      </c>
      <c r="F12">
        <v>4.6269367558910499E-41</v>
      </c>
    </row>
    <row r="13" spans="1:9" x14ac:dyDescent="0.25">
      <c r="A13" t="s">
        <v>86</v>
      </c>
      <c r="B13">
        <v>198</v>
      </c>
      <c r="C13">
        <v>1474001.2468592182</v>
      </c>
      <c r="D13">
        <v>7444.4507417132236</v>
      </c>
    </row>
    <row r="14" spans="1:9" ht="15.75" thickBot="1" x14ac:dyDescent="0.3">
      <c r="A14" s="12" t="s">
        <v>87</v>
      </c>
      <c r="B14" s="12">
        <v>199</v>
      </c>
      <c r="C14" s="12">
        <v>3668059.4301995002</v>
      </c>
      <c r="D14" s="12"/>
      <c r="E14" s="12"/>
      <c r="F14" s="12"/>
    </row>
    <row r="15" spans="1:9" ht="15.75" thickBot="1" x14ac:dyDescent="0.3"/>
    <row r="16" spans="1:9" x14ac:dyDescent="0.25">
      <c r="A16" s="13"/>
      <c r="B16" s="13" t="s">
        <v>94</v>
      </c>
      <c r="C16" s="13" t="s">
        <v>82</v>
      </c>
      <c r="D16" s="13" t="s">
        <v>95</v>
      </c>
      <c r="E16" s="13" t="s">
        <v>96</v>
      </c>
      <c r="F16" s="13" t="s">
        <v>97</v>
      </c>
      <c r="G16" s="13" t="s">
        <v>98</v>
      </c>
      <c r="H16" s="13" t="s">
        <v>99</v>
      </c>
      <c r="I16" s="13" t="s">
        <v>100</v>
      </c>
    </row>
    <row r="17" spans="1:9" x14ac:dyDescent="0.25">
      <c r="A17" t="s">
        <v>88</v>
      </c>
      <c r="B17">
        <v>-1.0315504901911368</v>
      </c>
      <c r="C17">
        <v>20.860617005445505</v>
      </c>
      <c r="D17">
        <v>-4.9449663445805959E-2</v>
      </c>
      <c r="E17">
        <v>0.96061079696907459</v>
      </c>
      <c r="F17">
        <v>-42.169051823378965</v>
      </c>
      <c r="G17">
        <v>40.105950842996691</v>
      </c>
      <c r="H17">
        <v>-42.169051823378965</v>
      </c>
      <c r="I17">
        <v>40.105950842996691</v>
      </c>
    </row>
    <row r="18" spans="1:9" ht="15.75" thickBot="1" x14ac:dyDescent="0.3">
      <c r="A18" s="12" t="s">
        <v>101</v>
      </c>
      <c r="B18" s="12">
        <v>0.35085598819512254</v>
      </c>
      <c r="C18" s="12">
        <v>2.0437188630135626E-2</v>
      </c>
      <c r="D18" s="12">
        <v>17.167527028535048</v>
      </c>
      <c r="E18" s="12">
        <v>4.6269367558907868E-41</v>
      </c>
      <c r="F18" s="12">
        <v>0.31055349501865764</v>
      </c>
      <c r="G18" s="12">
        <v>0.39115848137158743</v>
      </c>
      <c r="H18" s="12">
        <v>0.31055349501865764</v>
      </c>
      <c r="I18" s="12">
        <v>0.39115848137158743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 Sales Growth</vt:lpstr>
      <vt:lpstr>Dashboard</vt:lpstr>
      <vt:lpstr>Data Sheet</vt:lpstr>
      <vt:lpstr>High Value Customer</vt:lpstr>
      <vt:lpstr>Sales_By_Region_Product</vt:lpstr>
      <vt:lpstr>What IF </vt:lpstr>
      <vt:lpstr>Descriptive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 Shankar</dc:creator>
  <cp:lastModifiedBy>Niv Shankar</cp:lastModifiedBy>
  <dcterms:created xsi:type="dcterms:W3CDTF">2026-09-08T12:49:16Z</dcterms:created>
  <dcterms:modified xsi:type="dcterms:W3CDTF">2026-09-11T17:59:27Z</dcterms:modified>
</cp:coreProperties>
</file>